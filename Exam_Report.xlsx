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lass 12C" sheetId="2" state="visible" r:id="rId2"/>
    <sheet name="Class 2A" sheetId="3" state="visible" r:id="rId3"/>
    <sheet name="Class 2B" sheetId="4" state="visible" r:id="rId4"/>
    <sheet name="Class 2C" sheetId="5" state="visible" r:id="rId5"/>
    <sheet name="Class None" sheetId="6" state="visible" r:id="rId6"/>
    <sheet name="Item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8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b val="1"/>
      <color rgb="002C3E50"/>
      <sz val="12"/>
    </font>
    <font>
      <name val="Segoe UI"/>
      <b val="1"/>
      <color rgb="00FFFFFF"/>
      <sz val="11"/>
    </font>
    <font>
      <name val="Segoe UI"/>
      <sz val="11"/>
    </font>
    <font>
      <name val="Segoe UI"/>
      <i val="1"/>
      <sz val="10"/>
    </font>
    <font>
      <name val="Segoe UI"/>
      <b val="1"/>
      <color rgb="00922B21"/>
      <sz val="11"/>
    </font>
    <font>
      <name val="Segoe UI"/>
      <b val="1"/>
      <sz val="11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EAEDED"/>
        <bgColor rgb="00EAEDED"/>
      </patternFill>
    </fill>
    <fill>
      <patternFill patternType="solid">
        <fgColor rgb="00EAECEE"/>
        <bgColor rgb="00EAECEE"/>
      </patternFill>
    </fill>
    <fill>
      <patternFill patternType="solid">
        <fgColor rgb="00F8F9F9"/>
        <bgColor rgb="00F8F9F9"/>
      </patternFill>
    </fill>
    <fill>
      <patternFill patternType="solid">
        <fgColor rgb="00FCF3CF"/>
        <bgColor rgb="00FCF3CF"/>
      </patternFill>
    </fill>
  </fills>
  <borders count="3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top style="thin">
        <color rgb="00BDC3C7"/>
      </top>
      <bottom style="double">
        <color rgb="002C3E5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3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5" borderId="2" pivotButton="0" quotePrefix="0" xfId="0"/>
    <xf numFmtId="0" fontId="0" fillId="5" borderId="2" pivotButton="0" quotePrefix="0" xfId="0"/>
    <xf numFmtId="165" fontId="7" fillId="5" borderId="2" applyAlignment="1" pivotButton="0" quotePrefix="0" xfId="0">
      <alignment horizontal="right"/>
    </xf>
    <xf numFmtId="164" fontId="7" fillId="5" borderId="2" applyAlignment="1" pivotButton="0" quotePrefix="0" xfId="0">
      <alignment horizontal="right"/>
    </xf>
    <xf numFmtId="164" fontId="7" fillId="5" borderId="2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right"/>
    </xf>
    <xf numFmtId="164" fontId="0" fillId="6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7" fillId="0" borderId="1" pivotButton="0" quotePrefix="0" xfId="0"/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Class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'Dashboard'!C14</f>
            </strRef>
          </tx>
          <spPr>
            <a:ln>
              <a:prstDash val="solid"/>
            </a:ln>
          </spPr>
          <cat>
            <numRef>
              <f>'Dashboard'!$A$15:$A$19</f>
            </numRef>
          </cat>
          <val>
            <numRef>
              <f>'Dashboard'!$C$15:$C$19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/ 10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Question Success Rate Diagnostic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'Item Analysis'!G3</f>
            </strRef>
          </tx>
          <spPr>
            <a:ln>
              <a:prstDash val="solid"/>
            </a:ln>
          </spPr>
          <cat>
            <numRef>
              <f>'Item Analysis'!$A$4:$A$13</f>
            </numRef>
          </cat>
          <val>
            <numRef>
              <f>'Item Analysis'!$G$4:$G$13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Success Rate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Question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54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118" customWidth="1" min="2" max="2"/>
    <col width="21" customWidth="1" min="3" max="3"/>
    <col width="30" customWidth="1" min="4" max="4"/>
    <col width="21" customWidth="1" min="5" max="5"/>
  </cols>
  <sheetData>
    <row r="1">
      <c r="A1" s="1" t="inlineStr">
        <is>
          <t>COHORT PERFORMANCE DASHBOARD</t>
        </is>
      </c>
    </row>
    <row r="2"/>
    <row r="3">
      <c r="A3" s="2" t="inlineStr">
        <is>
          <t>Cohort Global Metrics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Classes Tracked</t>
        </is>
      </c>
      <c r="B5" s="5" t="n">
        <v>5</v>
      </c>
    </row>
    <row r="6">
      <c r="A6" s="4" t="inlineStr">
        <is>
          <t>Total Students Assessed</t>
        </is>
      </c>
      <c r="B6" s="5">
        <f>COUNTA('Class 12C'!B$6:B$6, 'Class 2A'!B$6:B$27, 'Class 2B'!B$6:B$25, 'Class 2C'!B$6:B$22, 'Class None'!B$6:B$10)</f>
        <v/>
      </c>
    </row>
    <row r="7">
      <c r="A7" s="4" t="inlineStr">
        <is>
          <t>Cohort Average Score</t>
        </is>
      </c>
      <c r="B7" s="6">
        <f>AVERAGE('Class 12C'!E$6:E$6, 'Class 2A'!E$6:E$27, 'Class 2B'!E$6:E$25, 'Class 2C'!E$6:E$22, 'Class None'!E$6:E$10)</f>
        <v/>
      </c>
    </row>
    <row r="8">
      <c r="A8" s="4" t="inlineStr">
        <is>
          <t>Cohort Median Score</t>
        </is>
      </c>
      <c r="B8" s="6">
        <f>MEDIAN('Class 12C'!E$6:E$6, 'Class 2A'!E$6:E$27, 'Class 2B'!E$6:E$25, 'Class 2C'!E$6:E$22, 'Class None'!E$6:E$10)</f>
        <v/>
      </c>
    </row>
    <row r="9">
      <c r="A9" s="4" t="inlineStr">
        <is>
          <t>Highest Individual Score</t>
        </is>
      </c>
      <c r="B9" s="5">
        <f>MAX('Class 12C'!E$6:E$6, 'Class 2A'!E$6:E$27, 'Class 2B'!E$6:E$25, 'Class 2C'!E$6:E$22, 'Class None'!E$6:E$10)</f>
        <v/>
      </c>
    </row>
    <row r="10">
      <c r="A10" s="4" t="inlineStr">
        <is>
          <t>Lowest Individual Score</t>
        </is>
      </c>
      <c r="B10" s="5">
        <f>MIN('Class 12C'!E$6:E$6, 'Class 2A'!E$6:E$27, 'Class 2B'!E$6:E$25, 'Class 2C'!E$6:E$22, 'Class None'!E$6:E$10)</f>
        <v/>
      </c>
    </row>
    <row r="11">
      <c r="A11" s="4" t="inlineStr">
        <is>
          <t>Overall Pass Rate (&gt;=50%)</t>
        </is>
      </c>
      <c r="B11" s="7">
        <f>AVERAGE('Class 12C'!H$7, 'Class 2A'!H$28, 'Class 2B'!H$26, 'Class 2C'!H$23, 'Class None'!H$11)</f>
        <v/>
      </c>
    </row>
    <row r="12"/>
    <row r="13">
      <c r="A13" s="2" t="inlineStr">
        <is>
          <t>Class Comparison Breakdown</t>
        </is>
      </c>
    </row>
    <row r="14">
      <c r="A14" s="8" t="inlineStr">
        <is>
          <t>Class</t>
        </is>
      </c>
      <c r="B14" s="9" t="inlineStr">
        <is>
          <t>Registered Students</t>
        </is>
      </c>
      <c r="C14" s="9" t="inlineStr">
        <is>
          <t>Class Average</t>
        </is>
      </c>
      <c r="D14" s="9" t="inlineStr">
        <is>
          <t>Highest Score</t>
        </is>
      </c>
      <c r="E14" s="9" t="inlineStr">
        <is>
          <t>Pass Rate</t>
        </is>
      </c>
    </row>
    <row r="15">
      <c r="A15" s="4" t="inlineStr">
        <is>
          <t>12C</t>
        </is>
      </c>
      <c r="B15" s="5">
        <f>COUNTA('Class 12C'!B$6:B$6)</f>
        <v/>
      </c>
      <c r="C15" s="6">
        <f>'Class 12C'!E$7</f>
        <v/>
      </c>
      <c r="D15" s="5">
        <f>MAX('Class 12C'!E$6:E$6)</f>
        <v/>
      </c>
      <c r="E15" s="7">
        <f>'Class 12C'!H$7</f>
        <v/>
      </c>
    </row>
    <row r="16">
      <c r="A16" s="4" t="inlineStr">
        <is>
          <t>2A</t>
        </is>
      </c>
      <c r="B16" s="5">
        <f>COUNTA('Class 2A'!B$6:B$27)</f>
        <v/>
      </c>
      <c r="C16" s="6">
        <f>'Class 2A'!E$28</f>
        <v/>
      </c>
      <c r="D16" s="5">
        <f>MAX('Class 2A'!E$6:E$27)</f>
        <v/>
      </c>
      <c r="E16" s="7">
        <f>'Class 2A'!H$28</f>
        <v/>
      </c>
    </row>
    <row r="17">
      <c r="A17" s="4" t="inlineStr">
        <is>
          <t>2B</t>
        </is>
      </c>
      <c r="B17" s="5">
        <f>COUNTA('Class 2B'!B$6:B$25)</f>
        <v/>
      </c>
      <c r="C17" s="6">
        <f>'Class 2B'!E$26</f>
        <v/>
      </c>
      <c r="D17" s="5">
        <f>MAX('Class 2B'!E$6:E$25)</f>
        <v/>
      </c>
      <c r="E17" s="7">
        <f>'Class 2B'!H$26</f>
        <v/>
      </c>
    </row>
    <row r="18">
      <c r="A18" s="4" t="inlineStr">
        <is>
          <t>2C</t>
        </is>
      </c>
      <c r="B18" s="5">
        <f>COUNTA('Class 2C'!B$6:B$22)</f>
        <v/>
      </c>
      <c r="C18" s="6">
        <f>'Class 2C'!E$23</f>
        <v/>
      </c>
      <c r="D18" s="5">
        <f>MAX('Class 2C'!E$6:E$22)</f>
        <v/>
      </c>
      <c r="E18" s="7">
        <f>'Class 2C'!H$23</f>
        <v/>
      </c>
    </row>
    <row r="19">
      <c r="A19" s="4" t="inlineStr">
        <is>
          <t>None</t>
        </is>
      </c>
      <c r="B19" s="5">
        <f>COUNTA('Class None'!B$6:B$10)</f>
        <v/>
      </c>
      <c r="C19" s="6">
        <f>'Class None'!E$11</f>
        <v/>
      </c>
      <c r="D19" s="5">
        <f>MAX('Class None'!E$6:E$10)</f>
        <v/>
      </c>
      <c r="E19" s="7">
        <f>'Class None'!H$11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1" workbookViewId="0">
      <pane xSplit="8" ySplit="5" topLeftCell="I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5" customWidth="1" min="2" max="2"/>
    <col width="14" customWidth="1" min="3" max="3"/>
    <col width="15" customWidth="1" min="4" max="4"/>
    <col width="18" customWidth="1" min="5" max="5"/>
    <col width="11" customWidth="1" min="6" max="6"/>
    <col width="18" customWidth="1" min="7" max="7"/>
    <col width="39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Student Performance Roster - Class 12C</t>
        </is>
      </c>
    </row>
    <row r="2"/>
    <row r="3"/>
    <row r="4">
      <c r="A4" s="10" t="inlineStr">
        <is>
          <t>Class</t>
        </is>
      </c>
      <c r="B4" s="10" t="inlineStr">
        <is>
          <t>Class Number</t>
        </is>
      </c>
      <c r="C4" s="10" t="inlineStr">
        <is>
          <t>Reg. Number</t>
        </is>
      </c>
      <c r="D4" s="10" t="inlineStr">
        <is>
          <t>Subject Code</t>
        </is>
      </c>
      <c r="E4" s="10" t="inlineStr">
        <is>
          <t>Score</t>
        </is>
      </c>
      <c r="F4" s="10" t="inlineStr">
        <is>
          <t>Total</t>
        </is>
      </c>
      <c r="G4" s="10" t="inlineStr">
        <is>
          <t>Percentage</t>
        </is>
      </c>
      <c r="H4" s="10" t="inlineStr">
        <is>
          <t>Class Rank</t>
        </is>
      </c>
      <c r="I4" s="10" t="inlineStr">
        <is>
          <t>Q1</t>
        </is>
      </c>
      <c r="J4" s="10" t="inlineStr">
        <is>
          <t>Q2</t>
        </is>
      </c>
      <c r="K4" s="10" t="inlineStr">
        <is>
          <t>Q3</t>
        </is>
      </c>
      <c r="L4" s="10" t="inlineStr">
        <is>
          <t>Q4</t>
        </is>
      </c>
      <c r="M4" s="10" t="inlineStr">
        <is>
          <t>Q5</t>
        </is>
      </c>
      <c r="N4" s="10" t="inlineStr">
        <is>
          <t>Q6</t>
        </is>
      </c>
      <c r="O4" s="10" t="inlineStr">
        <is>
          <t>Q7</t>
        </is>
      </c>
      <c r="P4" s="10" t="inlineStr">
        <is>
          <t>Q8</t>
        </is>
      </c>
      <c r="Q4" s="10" t="inlineStr">
        <is>
          <t>Q9</t>
        </is>
      </c>
      <c r="R4" s="10" t="inlineStr">
        <is>
          <t>Q10</t>
        </is>
      </c>
    </row>
    <row r="5">
      <c r="A5" s="11" t="inlineStr">
        <is>
          <t>KEY</t>
        </is>
      </c>
      <c r="B5" s="11" t="inlineStr">
        <is>
          <t>-</t>
        </is>
      </c>
      <c r="C5" s="11" t="inlineStr">
        <is>
          <t>-</t>
        </is>
      </c>
      <c r="D5" s="11" t="inlineStr">
        <is>
          <t>-</t>
        </is>
      </c>
      <c r="E5" s="11" t="inlineStr">
        <is>
          <t>-</t>
        </is>
      </c>
      <c r="F5" s="11" t="inlineStr">
        <is>
          <t>-</t>
        </is>
      </c>
      <c r="G5" s="11" t="inlineStr">
        <is>
          <t>-</t>
        </is>
      </c>
      <c r="H5" s="11" t="inlineStr">
        <is>
          <t>-</t>
        </is>
      </c>
      <c r="I5" s="11" t="inlineStr">
        <is>
          <t>C</t>
        </is>
      </c>
      <c r="J5" s="11" t="inlineStr">
        <is>
          <t>A</t>
        </is>
      </c>
      <c r="K5" s="11" t="inlineStr">
        <is>
          <t>C</t>
        </is>
      </c>
      <c r="L5" s="11" t="inlineStr">
        <is>
          <t>D</t>
        </is>
      </c>
      <c r="M5" s="11" t="inlineStr">
        <is>
          <t>B</t>
        </is>
      </c>
      <c r="N5" s="11" t="inlineStr">
        <is>
          <t>B</t>
        </is>
      </c>
      <c r="O5" s="11" t="inlineStr">
        <is>
          <t>B</t>
        </is>
      </c>
      <c r="P5" s="11" t="inlineStr">
        <is>
          <t>A</t>
        </is>
      </c>
      <c r="Q5" s="11" t="inlineStr">
        <is>
          <t>D</t>
        </is>
      </c>
      <c r="R5" s="11" t="inlineStr">
        <is>
          <t>D</t>
        </is>
      </c>
    </row>
    <row r="6">
      <c r="A6" s="12" t="inlineStr">
        <is>
          <t>12C</t>
        </is>
      </c>
      <c r="B6" s="12" t="inlineStr">
        <is>
          <t>011</t>
        </is>
      </c>
      <c r="C6" s="12" t="inlineStr">
        <is>
          <t>None</t>
        </is>
      </c>
      <c r="D6" s="12" t="inlineStr">
        <is>
          <t>None</t>
        </is>
      </c>
      <c r="E6" s="13" t="n">
        <v>3</v>
      </c>
      <c r="F6" s="13" t="n">
        <v>10</v>
      </c>
      <c r="G6" s="14">
        <f>E6/F6</f>
        <v/>
      </c>
      <c r="H6" s="12">
        <f>RANK(E6, E$6:E$6)</f>
        <v/>
      </c>
      <c r="I6" s="15" t="inlineStr">
        <is>
          <t>C</t>
        </is>
      </c>
      <c r="J6" s="15" t="inlineStr">
        <is>
          <t>A</t>
        </is>
      </c>
      <c r="K6" s="16" t="inlineStr">
        <is>
          <t>B</t>
        </is>
      </c>
      <c r="L6" s="16" t="inlineStr">
        <is>
          <t>C</t>
        </is>
      </c>
      <c r="M6" s="16" t="inlineStr">
        <is>
          <t>D</t>
        </is>
      </c>
      <c r="N6" s="15" t="inlineStr">
        <is>
          <t>B</t>
        </is>
      </c>
      <c r="O6" s="16" t="inlineStr">
        <is>
          <t>C</t>
        </is>
      </c>
      <c r="P6" s="16" t="inlineStr">
        <is>
          <t>B</t>
        </is>
      </c>
      <c r="Q6" s="16" t="inlineStr">
        <is>
          <t>B</t>
        </is>
      </c>
      <c r="R6" s="16" t="inlineStr">
        <is>
          <t>B</t>
        </is>
      </c>
    </row>
    <row r="7">
      <c r="A7" s="17" t="inlineStr">
        <is>
          <t>Class Average</t>
        </is>
      </c>
      <c r="B7" s="18" t="n"/>
      <c r="C7" s="18" t="n"/>
      <c r="D7" s="18" t="n"/>
      <c r="E7" s="19">
        <f>AVERAGE(E6:E6)</f>
        <v/>
      </c>
      <c r="F7" s="18" t="inlineStr"/>
      <c r="G7" s="20">
        <f>AVERAGE(G6:G6)</f>
        <v/>
      </c>
      <c r="H7" s="21">
        <f>COUNTIF(G6:G6,"&gt;=50%")/COUNT(G6:G6)</f>
        <v/>
      </c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</row>
  </sheetData>
  <mergeCells count="1">
    <mergeCell ref="A7:D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8"/>
  <sheetViews>
    <sheetView showGridLines="1" workbookViewId="0">
      <pane xSplit="8" ySplit="5" topLeftCell="I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5" customWidth="1" min="2" max="2"/>
    <col width="14" customWidth="1" min="3" max="3"/>
    <col width="15" customWidth="1" min="4" max="4"/>
    <col width="19" customWidth="1" min="5" max="5"/>
    <col width="11" customWidth="1" min="6" max="6"/>
    <col width="19" customWidth="1" min="7" max="7"/>
    <col width="4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Student Performance Roster - Class 2A</t>
        </is>
      </c>
    </row>
    <row r="2"/>
    <row r="3"/>
    <row r="4">
      <c r="A4" s="10" t="inlineStr">
        <is>
          <t>Class</t>
        </is>
      </c>
      <c r="B4" s="10" t="inlineStr">
        <is>
          <t>Class Number</t>
        </is>
      </c>
      <c r="C4" s="10" t="inlineStr">
        <is>
          <t>Reg. Number</t>
        </is>
      </c>
      <c r="D4" s="10" t="inlineStr">
        <is>
          <t>Subject Code</t>
        </is>
      </c>
      <c r="E4" s="10" t="inlineStr">
        <is>
          <t>Score</t>
        </is>
      </c>
      <c r="F4" s="10" t="inlineStr">
        <is>
          <t>Total</t>
        </is>
      </c>
      <c r="G4" s="10" t="inlineStr">
        <is>
          <t>Percentage</t>
        </is>
      </c>
      <c r="H4" s="10" t="inlineStr">
        <is>
          <t>Class Rank</t>
        </is>
      </c>
      <c r="I4" s="10" t="inlineStr">
        <is>
          <t>Q1</t>
        </is>
      </c>
      <c r="J4" s="10" t="inlineStr">
        <is>
          <t>Q2</t>
        </is>
      </c>
      <c r="K4" s="10" t="inlineStr">
        <is>
          <t>Q3</t>
        </is>
      </c>
      <c r="L4" s="10" t="inlineStr">
        <is>
          <t>Q4</t>
        </is>
      </c>
      <c r="M4" s="10" t="inlineStr">
        <is>
          <t>Q5</t>
        </is>
      </c>
      <c r="N4" s="10" t="inlineStr">
        <is>
          <t>Q6</t>
        </is>
      </c>
      <c r="O4" s="10" t="inlineStr">
        <is>
          <t>Q7</t>
        </is>
      </c>
      <c r="P4" s="10" t="inlineStr">
        <is>
          <t>Q8</t>
        </is>
      </c>
      <c r="Q4" s="10" t="inlineStr">
        <is>
          <t>Q9</t>
        </is>
      </c>
      <c r="R4" s="10" t="inlineStr">
        <is>
          <t>Q10</t>
        </is>
      </c>
    </row>
    <row r="5">
      <c r="A5" s="11" t="inlineStr">
        <is>
          <t>KEY</t>
        </is>
      </c>
      <c r="B5" s="11" t="inlineStr">
        <is>
          <t>-</t>
        </is>
      </c>
      <c r="C5" s="11" t="inlineStr">
        <is>
          <t>-</t>
        </is>
      </c>
      <c r="D5" s="11" t="inlineStr">
        <is>
          <t>-</t>
        </is>
      </c>
      <c r="E5" s="11" t="inlineStr">
        <is>
          <t>-</t>
        </is>
      </c>
      <c r="F5" s="11" t="inlineStr">
        <is>
          <t>-</t>
        </is>
      </c>
      <c r="G5" s="11" t="inlineStr">
        <is>
          <t>-</t>
        </is>
      </c>
      <c r="H5" s="11" t="inlineStr">
        <is>
          <t>-</t>
        </is>
      </c>
      <c r="I5" s="11" t="inlineStr">
        <is>
          <t>C</t>
        </is>
      </c>
      <c r="J5" s="11" t="inlineStr">
        <is>
          <t>A</t>
        </is>
      </c>
      <c r="K5" s="11" t="inlineStr">
        <is>
          <t>C</t>
        </is>
      </c>
      <c r="L5" s="11" t="inlineStr">
        <is>
          <t>D</t>
        </is>
      </c>
      <c r="M5" s="11" t="inlineStr">
        <is>
          <t>B</t>
        </is>
      </c>
      <c r="N5" s="11" t="inlineStr">
        <is>
          <t>B</t>
        </is>
      </c>
      <c r="O5" s="11" t="inlineStr">
        <is>
          <t>B</t>
        </is>
      </c>
      <c r="P5" s="11" t="inlineStr">
        <is>
          <t>A</t>
        </is>
      </c>
      <c r="Q5" s="11" t="inlineStr">
        <is>
          <t>D</t>
        </is>
      </c>
      <c r="R5" s="11" t="inlineStr">
        <is>
          <t>D</t>
        </is>
      </c>
    </row>
    <row r="6">
      <c r="A6" s="12" t="inlineStr">
        <is>
          <t>2A</t>
        </is>
      </c>
      <c r="B6" s="12" t="inlineStr">
        <is>
          <t>01</t>
        </is>
      </c>
      <c r="C6" s="12" t="inlineStr">
        <is>
          <t>None</t>
        </is>
      </c>
      <c r="D6" s="12" t="inlineStr">
        <is>
          <t>None</t>
        </is>
      </c>
      <c r="E6" s="13" t="n">
        <v>10</v>
      </c>
      <c r="F6" s="13" t="n">
        <v>10</v>
      </c>
      <c r="G6" s="14">
        <f>E6/F6</f>
        <v/>
      </c>
      <c r="H6" s="12">
        <f>RANK(E6, E$6:E$27)</f>
        <v/>
      </c>
      <c r="I6" s="15" t="inlineStr">
        <is>
          <t>C</t>
        </is>
      </c>
      <c r="J6" s="15" t="inlineStr">
        <is>
          <t>A</t>
        </is>
      </c>
      <c r="K6" s="15" t="inlineStr">
        <is>
          <t>C</t>
        </is>
      </c>
      <c r="L6" s="15" t="inlineStr">
        <is>
          <t>D</t>
        </is>
      </c>
      <c r="M6" s="15" t="inlineStr">
        <is>
          <t>B</t>
        </is>
      </c>
      <c r="N6" s="15" t="inlineStr">
        <is>
          <t>B</t>
        </is>
      </c>
      <c r="O6" s="15" t="inlineStr">
        <is>
          <t>B</t>
        </is>
      </c>
      <c r="P6" s="15" t="inlineStr">
        <is>
          <t>A</t>
        </is>
      </c>
      <c r="Q6" s="15" t="inlineStr">
        <is>
          <t>D</t>
        </is>
      </c>
      <c r="R6" s="15" t="inlineStr">
        <is>
          <t>D</t>
        </is>
      </c>
    </row>
    <row r="7">
      <c r="A7" s="22" t="inlineStr">
        <is>
          <t>2A</t>
        </is>
      </c>
      <c r="B7" s="22" t="inlineStr">
        <is>
          <t>02</t>
        </is>
      </c>
      <c r="C7" s="22" t="inlineStr">
        <is>
          <t>None</t>
        </is>
      </c>
      <c r="D7" s="22" t="inlineStr">
        <is>
          <t>None</t>
        </is>
      </c>
      <c r="E7" s="23" t="n">
        <v>9</v>
      </c>
      <c r="F7" s="23" t="n">
        <v>10</v>
      </c>
      <c r="G7" s="24">
        <f>E7/F7</f>
        <v/>
      </c>
      <c r="H7" s="22">
        <f>RANK(E7, E$6:E$27)</f>
        <v/>
      </c>
      <c r="I7" s="25" t="inlineStr">
        <is>
          <t>C</t>
        </is>
      </c>
      <c r="J7" s="25" t="inlineStr">
        <is>
          <t>A</t>
        </is>
      </c>
      <c r="K7" s="25" t="inlineStr">
        <is>
          <t>C</t>
        </is>
      </c>
      <c r="L7" s="25" t="inlineStr">
        <is>
          <t>D</t>
        </is>
      </c>
      <c r="M7" s="25" t="inlineStr">
        <is>
          <t>B</t>
        </is>
      </c>
      <c r="N7" s="25" t="inlineStr">
        <is>
          <t>B</t>
        </is>
      </c>
      <c r="O7" s="25" t="inlineStr">
        <is>
          <t>B</t>
        </is>
      </c>
      <c r="P7" s="25" t="inlineStr">
        <is>
          <t>A</t>
        </is>
      </c>
      <c r="Q7" s="25" t="inlineStr">
        <is>
          <t>D</t>
        </is>
      </c>
      <c r="R7" s="26" t="inlineStr">
        <is>
          <t>B</t>
        </is>
      </c>
    </row>
    <row r="8">
      <c r="A8" s="12" t="inlineStr">
        <is>
          <t>2A</t>
        </is>
      </c>
      <c r="B8" s="12" t="inlineStr">
        <is>
          <t>03</t>
        </is>
      </c>
      <c r="C8" s="12" t="inlineStr">
        <is>
          <t>None</t>
        </is>
      </c>
      <c r="D8" s="12" t="inlineStr">
        <is>
          <t>None</t>
        </is>
      </c>
      <c r="E8" s="13" t="n">
        <v>9</v>
      </c>
      <c r="F8" s="13" t="n">
        <v>10</v>
      </c>
      <c r="G8" s="14">
        <f>E8/F8</f>
        <v/>
      </c>
      <c r="H8" s="12">
        <f>RANK(E8, E$6:E$27)</f>
        <v/>
      </c>
      <c r="I8" s="15" t="inlineStr">
        <is>
          <t>C</t>
        </is>
      </c>
      <c r="J8" s="15" t="inlineStr">
        <is>
          <t>A</t>
        </is>
      </c>
      <c r="K8" s="15" t="inlineStr">
        <is>
          <t>C</t>
        </is>
      </c>
      <c r="L8" s="15" t="inlineStr">
        <is>
          <t>D</t>
        </is>
      </c>
      <c r="M8" s="16" t="inlineStr">
        <is>
          <t>A</t>
        </is>
      </c>
      <c r="N8" s="15" t="inlineStr">
        <is>
          <t>B</t>
        </is>
      </c>
      <c r="O8" s="15" t="inlineStr">
        <is>
          <t>B</t>
        </is>
      </c>
      <c r="P8" s="15" t="inlineStr">
        <is>
          <t>A</t>
        </is>
      </c>
      <c r="Q8" s="15" t="inlineStr">
        <is>
          <t>D</t>
        </is>
      </c>
      <c r="R8" s="15" t="inlineStr">
        <is>
          <t>D</t>
        </is>
      </c>
    </row>
    <row r="9">
      <c r="A9" s="22" t="inlineStr">
        <is>
          <t>2A</t>
        </is>
      </c>
      <c r="B9" s="22" t="inlineStr">
        <is>
          <t>04</t>
        </is>
      </c>
      <c r="C9" s="22" t="inlineStr">
        <is>
          <t>None</t>
        </is>
      </c>
      <c r="D9" s="22" t="inlineStr">
        <is>
          <t>None</t>
        </is>
      </c>
      <c r="E9" s="23" t="n">
        <v>4</v>
      </c>
      <c r="F9" s="23" t="n">
        <v>10</v>
      </c>
      <c r="G9" s="24">
        <f>E9/F9</f>
        <v/>
      </c>
      <c r="H9" s="22">
        <f>RANK(E9, E$6:E$27)</f>
        <v/>
      </c>
      <c r="I9" s="26" t="inlineStr">
        <is>
          <t>A</t>
        </is>
      </c>
      <c r="J9" s="25" t="inlineStr">
        <is>
          <t>A</t>
        </is>
      </c>
      <c r="K9" s="26" t="inlineStr">
        <is>
          <t>A</t>
        </is>
      </c>
      <c r="L9" s="26" t="inlineStr">
        <is>
          <t>A</t>
        </is>
      </c>
      <c r="M9" s="26" t="inlineStr">
        <is>
          <t>A</t>
        </is>
      </c>
      <c r="N9" s="26" t="inlineStr">
        <is>
          <t>D</t>
        </is>
      </c>
      <c r="O9" s="25" t="inlineStr">
        <is>
          <t>B</t>
        </is>
      </c>
      <c r="P9" s="25" t="inlineStr">
        <is>
          <t>A</t>
        </is>
      </c>
      <c r="Q9" s="25" t="inlineStr">
        <is>
          <t>D</t>
        </is>
      </c>
      <c r="R9" s="26" t="inlineStr">
        <is>
          <t>C</t>
        </is>
      </c>
    </row>
    <row r="10">
      <c r="A10" s="12" t="inlineStr">
        <is>
          <t>2A</t>
        </is>
      </c>
      <c r="B10" s="12" t="inlineStr">
        <is>
          <t>05</t>
        </is>
      </c>
      <c r="C10" s="12" t="inlineStr">
        <is>
          <t>None</t>
        </is>
      </c>
      <c r="D10" s="12" t="inlineStr">
        <is>
          <t>None</t>
        </is>
      </c>
      <c r="E10" s="13" t="n">
        <v>7</v>
      </c>
      <c r="F10" s="13" t="n">
        <v>10</v>
      </c>
      <c r="G10" s="14">
        <f>E10/F10</f>
        <v/>
      </c>
      <c r="H10" s="12">
        <f>RANK(E10, E$6:E$27)</f>
        <v/>
      </c>
      <c r="I10" s="15" t="inlineStr">
        <is>
          <t>C</t>
        </is>
      </c>
      <c r="J10" s="15" t="inlineStr">
        <is>
          <t>A</t>
        </is>
      </c>
      <c r="K10" s="15" t="inlineStr">
        <is>
          <t>C</t>
        </is>
      </c>
      <c r="L10" s="15" t="inlineStr">
        <is>
          <t>D</t>
        </is>
      </c>
      <c r="M10" s="15" t="inlineStr">
        <is>
          <t>B</t>
        </is>
      </c>
      <c r="N10" s="16" t="inlineStr">
        <is>
          <t>C</t>
        </is>
      </c>
      <c r="O10" s="15" t="inlineStr">
        <is>
          <t>B</t>
        </is>
      </c>
      <c r="P10" s="15" t="inlineStr">
        <is>
          <t>A</t>
        </is>
      </c>
      <c r="Q10" s="16" t="inlineStr">
        <is>
          <t>A</t>
        </is>
      </c>
      <c r="R10" s="16" t="inlineStr">
        <is>
          <t>C</t>
        </is>
      </c>
    </row>
    <row r="11">
      <c r="A11" s="22" t="inlineStr">
        <is>
          <t>2A</t>
        </is>
      </c>
      <c r="B11" s="22" t="inlineStr">
        <is>
          <t>06</t>
        </is>
      </c>
      <c r="C11" s="22" t="inlineStr">
        <is>
          <t>None</t>
        </is>
      </c>
      <c r="D11" s="22" t="inlineStr">
        <is>
          <t>None</t>
        </is>
      </c>
      <c r="E11" s="23" t="n">
        <v>10</v>
      </c>
      <c r="F11" s="23" t="n">
        <v>10</v>
      </c>
      <c r="G11" s="24">
        <f>E11/F11</f>
        <v/>
      </c>
      <c r="H11" s="22">
        <f>RANK(E11, E$6:E$27)</f>
        <v/>
      </c>
      <c r="I11" s="25" t="inlineStr">
        <is>
          <t>C</t>
        </is>
      </c>
      <c r="J11" s="25" t="inlineStr">
        <is>
          <t>A</t>
        </is>
      </c>
      <c r="K11" s="25" t="inlineStr">
        <is>
          <t>C</t>
        </is>
      </c>
      <c r="L11" s="25" t="inlineStr">
        <is>
          <t>D</t>
        </is>
      </c>
      <c r="M11" s="25" t="inlineStr">
        <is>
          <t>B</t>
        </is>
      </c>
      <c r="N11" s="25" t="inlineStr">
        <is>
          <t>B</t>
        </is>
      </c>
      <c r="O11" s="25" t="inlineStr">
        <is>
          <t>B</t>
        </is>
      </c>
      <c r="P11" s="25" t="inlineStr">
        <is>
          <t>A</t>
        </is>
      </c>
      <c r="Q11" s="25" t="inlineStr">
        <is>
          <t>D</t>
        </is>
      </c>
      <c r="R11" s="25" t="inlineStr">
        <is>
          <t>D</t>
        </is>
      </c>
    </row>
    <row r="12">
      <c r="A12" s="12" t="inlineStr">
        <is>
          <t>2A</t>
        </is>
      </c>
      <c r="B12" s="12" t="inlineStr">
        <is>
          <t>07</t>
        </is>
      </c>
      <c r="C12" s="12" t="inlineStr">
        <is>
          <t>None</t>
        </is>
      </c>
      <c r="D12" s="12" t="inlineStr">
        <is>
          <t>None</t>
        </is>
      </c>
      <c r="E12" s="13" t="n">
        <v>8</v>
      </c>
      <c r="F12" s="13" t="n">
        <v>10</v>
      </c>
      <c r="G12" s="14">
        <f>E12/F12</f>
        <v/>
      </c>
      <c r="H12" s="12">
        <f>RANK(E12, E$6:E$27)</f>
        <v/>
      </c>
      <c r="I12" s="15" t="inlineStr">
        <is>
          <t>C</t>
        </is>
      </c>
      <c r="J12" s="15" t="inlineStr">
        <is>
          <t>A</t>
        </is>
      </c>
      <c r="K12" s="15" t="inlineStr">
        <is>
          <t>C</t>
        </is>
      </c>
      <c r="L12" s="15" t="inlineStr">
        <is>
          <t>D</t>
        </is>
      </c>
      <c r="M12" s="27" t="inlineStr">
        <is>
          <t>BLANK</t>
        </is>
      </c>
      <c r="N12" s="15" t="inlineStr">
        <is>
          <t>B</t>
        </is>
      </c>
      <c r="O12" s="15" t="inlineStr">
        <is>
          <t>B</t>
        </is>
      </c>
      <c r="P12" s="15" t="inlineStr">
        <is>
          <t>A</t>
        </is>
      </c>
      <c r="Q12" s="16" t="inlineStr">
        <is>
          <t>A</t>
        </is>
      </c>
      <c r="R12" s="15" t="inlineStr">
        <is>
          <t>D</t>
        </is>
      </c>
    </row>
    <row r="13">
      <c r="A13" s="22" t="inlineStr">
        <is>
          <t>2A</t>
        </is>
      </c>
      <c r="B13" s="22" t="inlineStr">
        <is>
          <t>08</t>
        </is>
      </c>
      <c r="C13" s="22" t="inlineStr">
        <is>
          <t>None</t>
        </is>
      </c>
      <c r="D13" s="22" t="inlineStr">
        <is>
          <t>None</t>
        </is>
      </c>
      <c r="E13" s="23" t="n">
        <v>5</v>
      </c>
      <c r="F13" s="23" t="n">
        <v>10</v>
      </c>
      <c r="G13" s="24">
        <f>E13/F13</f>
        <v/>
      </c>
      <c r="H13" s="22">
        <f>RANK(E13, E$6:E$27)</f>
        <v/>
      </c>
      <c r="I13" s="25" t="inlineStr">
        <is>
          <t>C</t>
        </is>
      </c>
      <c r="J13" s="25" t="inlineStr">
        <is>
          <t>A</t>
        </is>
      </c>
      <c r="K13" s="26" t="inlineStr">
        <is>
          <t>B</t>
        </is>
      </c>
      <c r="L13" s="26" t="inlineStr">
        <is>
          <t>A</t>
        </is>
      </c>
      <c r="M13" s="26" t="inlineStr">
        <is>
          <t>C</t>
        </is>
      </c>
      <c r="N13" s="26" t="inlineStr">
        <is>
          <t>A</t>
        </is>
      </c>
      <c r="O13" s="25" t="inlineStr">
        <is>
          <t>B</t>
        </is>
      </c>
      <c r="P13" s="25" t="inlineStr">
        <is>
          <t>A</t>
        </is>
      </c>
      <c r="Q13" s="26" t="inlineStr">
        <is>
          <t>C</t>
        </is>
      </c>
      <c r="R13" s="25" t="inlineStr">
        <is>
          <t>D</t>
        </is>
      </c>
    </row>
    <row r="14">
      <c r="A14" s="12" t="inlineStr">
        <is>
          <t>2A</t>
        </is>
      </c>
      <c r="B14" s="12" t="inlineStr">
        <is>
          <t>09</t>
        </is>
      </c>
      <c r="C14" s="12" t="inlineStr">
        <is>
          <t>None</t>
        </is>
      </c>
      <c r="D14" s="12" t="inlineStr">
        <is>
          <t>None</t>
        </is>
      </c>
      <c r="E14" s="13" t="n">
        <v>5</v>
      </c>
      <c r="F14" s="13" t="n">
        <v>10</v>
      </c>
      <c r="G14" s="14">
        <f>E14/F14</f>
        <v/>
      </c>
      <c r="H14" s="12">
        <f>RANK(E14, E$6:E$27)</f>
        <v/>
      </c>
      <c r="I14" s="16" t="inlineStr">
        <is>
          <t>D</t>
        </is>
      </c>
      <c r="J14" s="15" t="inlineStr">
        <is>
          <t>A</t>
        </is>
      </c>
      <c r="K14" s="15" t="inlineStr">
        <is>
          <t>C</t>
        </is>
      </c>
      <c r="L14" s="16" t="inlineStr">
        <is>
          <t>A</t>
        </is>
      </c>
      <c r="M14" s="16" t="inlineStr">
        <is>
          <t>A</t>
        </is>
      </c>
      <c r="N14" s="15" t="inlineStr">
        <is>
          <t>B</t>
        </is>
      </c>
      <c r="O14" s="15" t="inlineStr">
        <is>
          <t>B</t>
        </is>
      </c>
      <c r="P14" s="16" t="inlineStr">
        <is>
          <t>C</t>
        </is>
      </c>
      <c r="Q14" s="16" t="inlineStr">
        <is>
          <t>B</t>
        </is>
      </c>
      <c r="R14" s="15" t="inlineStr">
        <is>
          <t>D</t>
        </is>
      </c>
    </row>
    <row r="15">
      <c r="A15" s="22" t="inlineStr">
        <is>
          <t>2A</t>
        </is>
      </c>
      <c r="B15" s="22" t="inlineStr">
        <is>
          <t>1</t>
        </is>
      </c>
      <c r="C15" s="22" t="inlineStr">
        <is>
          <t>None</t>
        </is>
      </c>
      <c r="D15" s="22" t="inlineStr">
        <is>
          <t>None</t>
        </is>
      </c>
      <c r="E15" s="23" t="n">
        <v>7</v>
      </c>
      <c r="F15" s="23" t="n">
        <v>10</v>
      </c>
      <c r="G15" s="24">
        <f>E15/F15</f>
        <v/>
      </c>
      <c r="H15" s="22">
        <f>RANK(E15, E$6:E$27)</f>
        <v/>
      </c>
      <c r="I15" s="25" t="inlineStr">
        <is>
          <t>C</t>
        </is>
      </c>
      <c r="J15" s="25" t="inlineStr">
        <is>
          <t>A</t>
        </is>
      </c>
      <c r="K15" s="25" t="inlineStr">
        <is>
          <t>C</t>
        </is>
      </c>
      <c r="L15" s="26" t="inlineStr">
        <is>
          <t>A</t>
        </is>
      </c>
      <c r="M15" s="26" t="inlineStr">
        <is>
          <t>C</t>
        </is>
      </c>
      <c r="N15" s="25" t="inlineStr">
        <is>
          <t>B</t>
        </is>
      </c>
      <c r="O15" s="25" t="inlineStr">
        <is>
          <t>B</t>
        </is>
      </c>
      <c r="P15" s="26" t="inlineStr">
        <is>
          <t>C</t>
        </is>
      </c>
      <c r="Q15" s="25" t="inlineStr">
        <is>
          <t>D</t>
        </is>
      </c>
      <c r="R15" s="25" t="inlineStr">
        <is>
          <t>D</t>
        </is>
      </c>
    </row>
    <row r="16">
      <c r="A16" s="12" t="inlineStr">
        <is>
          <t>2A</t>
        </is>
      </c>
      <c r="B16" s="12" t="inlineStr">
        <is>
          <t>10</t>
        </is>
      </c>
      <c r="C16" s="12" t="inlineStr">
        <is>
          <t>None</t>
        </is>
      </c>
      <c r="D16" s="12" t="inlineStr">
        <is>
          <t>None</t>
        </is>
      </c>
      <c r="E16" s="13" t="n">
        <v>2</v>
      </c>
      <c r="F16" s="13" t="n">
        <v>10</v>
      </c>
      <c r="G16" s="14">
        <f>E16/F16</f>
        <v/>
      </c>
      <c r="H16" s="12">
        <f>RANK(E16, E$6:E$27)</f>
        <v/>
      </c>
      <c r="I16" s="16" t="inlineStr">
        <is>
          <t>B</t>
        </is>
      </c>
      <c r="J16" s="16" t="inlineStr">
        <is>
          <t>D</t>
        </is>
      </c>
      <c r="K16" s="16" t="inlineStr">
        <is>
          <t>A</t>
        </is>
      </c>
      <c r="L16" s="16" t="inlineStr">
        <is>
          <t>B</t>
        </is>
      </c>
      <c r="M16" s="15" t="inlineStr">
        <is>
          <t>B</t>
        </is>
      </c>
      <c r="N16" s="15" t="inlineStr">
        <is>
          <t>B</t>
        </is>
      </c>
      <c r="O16" s="16" t="inlineStr">
        <is>
          <t>D</t>
        </is>
      </c>
      <c r="P16" s="16" t="inlineStr">
        <is>
          <t>C</t>
        </is>
      </c>
      <c r="Q16" s="16" t="inlineStr">
        <is>
          <t>C</t>
        </is>
      </c>
      <c r="R16" s="16" t="inlineStr">
        <is>
          <t>B</t>
        </is>
      </c>
    </row>
    <row r="17">
      <c r="A17" s="22" t="inlineStr">
        <is>
          <t>2A</t>
        </is>
      </c>
      <c r="B17" s="22" t="inlineStr">
        <is>
          <t>12</t>
        </is>
      </c>
      <c r="C17" s="22" t="inlineStr">
        <is>
          <t>None</t>
        </is>
      </c>
      <c r="D17" s="22" t="inlineStr">
        <is>
          <t>None</t>
        </is>
      </c>
      <c r="E17" s="23" t="n">
        <v>10</v>
      </c>
      <c r="F17" s="23" t="n">
        <v>10</v>
      </c>
      <c r="G17" s="24">
        <f>E17/F17</f>
        <v/>
      </c>
      <c r="H17" s="22">
        <f>RANK(E17, E$6:E$27)</f>
        <v/>
      </c>
      <c r="I17" s="25" t="inlineStr">
        <is>
          <t>C</t>
        </is>
      </c>
      <c r="J17" s="25" t="inlineStr">
        <is>
          <t>A</t>
        </is>
      </c>
      <c r="K17" s="25" t="inlineStr">
        <is>
          <t>C</t>
        </is>
      </c>
      <c r="L17" s="25" t="inlineStr">
        <is>
          <t>D</t>
        </is>
      </c>
      <c r="M17" s="25" t="inlineStr">
        <is>
          <t>B</t>
        </is>
      </c>
      <c r="N17" s="25" t="inlineStr">
        <is>
          <t>B</t>
        </is>
      </c>
      <c r="O17" s="25" t="inlineStr">
        <is>
          <t>B</t>
        </is>
      </c>
      <c r="P17" s="25" t="inlineStr">
        <is>
          <t>A</t>
        </is>
      </c>
      <c r="Q17" s="25" t="inlineStr">
        <is>
          <t>D</t>
        </is>
      </c>
      <c r="R17" s="25" t="inlineStr">
        <is>
          <t>D</t>
        </is>
      </c>
    </row>
    <row r="18">
      <c r="A18" s="12" t="inlineStr">
        <is>
          <t>2A</t>
        </is>
      </c>
      <c r="B18" s="12" t="inlineStr">
        <is>
          <t>14</t>
        </is>
      </c>
      <c r="C18" s="12" t="inlineStr">
        <is>
          <t>None</t>
        </is>
      </c>
      <c r="D18" s="12" t="inlineStr">
        <is>
          <t>None</t>
        </is>
      </c>
      <c r="E18" s="13" t="n">
        <v>10</v>
      </c>
      <c r="F18" s="13" t="n">
        <v>10</v>
      </c>
      <c r="G18" s="14">
        <f>E18/F18</f>
        <v/>
      </c>
      <c r="H18" s="12">
        <f>RANK(E18, E$6:E$27)</f>
        <v/>
      </c>
      <c r="I18" s="15" t="inlineStr">
        <is>
          <t>C</t>
        </is>
      </c>
      <c r="J18" s="15" t="inlineStr">
        <is>
          <t>A</t>
        </is>
      </c>
      <c r="K18" s="15" t="inlineStr">
        <is>
          <t>C</t>
        </is>
      </c>
      <c r="L18" s="15" t="inlineStr">
        <is>
          <t>D</t>
        </is>
      </c>
      <c r="M18" s="15" t="inlineStr">
        <is>
          <t>B</t>
        </is>
      </c>
      <c r="N18" s="15" t="inlineStr">
        <is>
          <t>B</t>
        </is>
      </c>
      <c r="O18" s="15" t="inlineStr">
        <is>
          <t>B</t>
        </is>
      </c>
      <c r="P18" s="15" t="inlineStr">
        <is>
          <t>A</t>
        </is>
      </c>
      <c r="Q18" s="15" t="inlineStr">
        <is>
          <t>D</t>
        </is>
      </c>
      <c r="R18" s="15" t="inlineStr">
        <is>
          <t>D</t>
        </is>
      </c>
    </row>
    <row r="19">
      <c r="A19" s="22" t="inlineStr">
        <is>
          <t>2A</t>
        </is>
      </c>
      <c r="B19" s="22" t="inlineStr">
        <is>
          <t>15</t>
        </is>
      </c>
      <c r="C19" s="22" t="inlineStr">
        <is>
          <t>None</t>
        </is>
      </c>
      <c r="D19" s="22" t="inlineStr">
        <is>
          <t>None</t>
        </is>
      </c>
      <c r="E19" s="23" t="n">
        <v>10</v>
      </c>
      <c r="F19" s="23" t="n">
        <v>10</v>
      </c>
      <c r="G19" s="24">
        <f>E19/F19</f>
        <v/>
      </c>
      <c r="H19" s="22">
        <f>RANK(E19, E$6:E$27)</f>
        <v/>
      </c>
      <c r="I19" s="25" t="inlineStr">
        <is>
          <t>C</t>
        </is>
      </c>
      <c r="J19" s="25" t="inlineStr">
        <is>
          <t>A</t>
        </is>
      </c>
      <c r="K19" s="25" t="inlineStr">
        <is>
          <t>C</t>
        </is>
      </c>
      <c r="L19" s="25" t="inlineStr">
        <is>
          <t>D</t>
        </is>
      </c>
      <c r="M19" s="25" t="inlineStr">
        <is>
          <t>B</t>
        </is>
      </c>
      <c r="N19" s="25" t="inlineStr">
        <is>
          <t>B</t>
        </is>
      </c>
      <c r="O19" s="25" t="inlineStr">
        <is>
          <t>B</t>
        </is>
      </c>
      <c r="P19" s="25" t="inlineStr">
        <is>
          <t>A</t>
        </is>
      </c>
      <c r="Q19" s="25" t="inlineStr">
        <is>
          <t>D</t>
        </is>
      </c>
      <c r="R19" s="25" t="inlineStr">
        <is>
          <t>D</t>
        </is>
      </c>
    </row>
    <row r="20">
      <c r="A20" s="12" t="inlineStr">
        <is>
          <t>2A</t>
        </is>
      </c>
      <c r="B20" s="12" t="inlineStr">
        <is>
          <t>16</t>
        </is>
      </c>
      <c r="C20" s="12" t="inlineStr">
        <is>
          <t>None</t>
        </is>
      </c>
      <c r="D20" s="12" t="inlineStr">
        <is>
          <t>None</t>
        </is>
      </c>
      <c r="E20" s="13" t="n">
        <v>8</v>
      </c>
      <c r="F20" s="13" t="n">
        <v>10</v>
      </c>
      <c r="G20" s="14">
        <f>E20/F20</f>
        <v/>
      </c>
      <c r="H20" s="12">
        <f>RANK(E20, E$6:E$27)</f>
        <v/>
      </c>
      <c r="I20" s="15" t="inlineStr">
        <is>
          <t>C</t>
        </is>
      </c>
      <c r="J20" s="15" t="inlineStr">
        <is>
          <t>A</t>
        </is>
      </c>
      <c r="K20" s="15" t="inlineStr">
        <is>
          <t>C</t>
        </is>
      </c>
      <c r="L20" s="15" t="inlineStr">
        <is>
          <t>D</t>
        </is>
      </c>
      <c r="M20" s="16" t="inlineStr">
        <is>
          <t>A</t>
        </is>
      </c>
      <c r="N20" s="15" t="inlineStr">
        <is>
          <t>B</t>
        </is>
      </c>
      <c r="O20" s="15" t="inlineStr">
        <is>
          <t>B</t>
        </is>
      </c>
      <c r="P20" s="15" t="inlineStr">
        <is>
          <t>A</t>
        </is>
      </c>
      <c r="Q20" s="16" t="inlineStr">
        <is>
          <t>A</t>
        </is>
      </c>
      <c r="R20" s="15" t="inlineStr">
        <is>
          <t>D</t>
        </is>
      </c>
    </row>
    <row r="21">
      <c r="A21" s="22" t="inlineStr">
        <is>
          <t>2A</t>
        </is>
      </c>
      <c r="B21" s="22" t="inlineStr">
        <is>
          <t>17</t>
        </is>
      </c>
      <c r="C21" s="22" t="inlineStr">
        <is>
          <t>None</t>
        </is>
      </c>
      <c r="D21" s="22" t="inlineStr">
        <is>
          <t>None</t>
        </is>
      </c>
      <c r="E21" s="23" t="n">
        <v>8</v>
      </c>
      <c r="F21" s="23" t="n">
        <v>10</v>
      </c>
      <c r="G21" s="24">
        <f>E21/F21</f>
        <v/>
      </c>
      <c r="H21" s="22">
        <f>RANK(E21, E$6:E$27)</f>
        <v/>
      </c>
      <c r="I21" s="25" t="inlineStr">
        <is>
          <t>C</t>
        </is>
      </c>
      <c r="J21" s="25" t="inlineStr">
        <is>
          <t>A</t>
        </is>
      </c>
      <c r="K21" s="25" t="inlineStr">
        <is>
          <t>C</t>
        </is>
      </c>
      <c r="L21" s="25" t="inlineStr">
        <is>
          <t>D</t>
        </is>
      </c>
      <c r="M21" s="25" t="inlineStr">
        <is>
          <t>B</t>
        </is>
      </c>
      <c r="N21" s="25" t="inlineStr">
        <is>
          <t>B</t>
        </is>
      </c>
      <c r="O21" s="26" t="inlineStr">
        <is>
          <t>D</t>
        </is>
      </c>
      <c r="P21" s="25" t="inlineStr">
        <is>
          <t>A</t>
        </is>
      </c>
      <c r="Q21" s="25" t="inlineStr">
        <is>
          <t>D</t>
        </is>
      </c>
      <c r="R21" s="26" t="inlineStr">
        <is>
          <t>C</t>
        </is>
      </c>
    </row>
    <row r="22">
      <c r="A22" s="12" t="inlineStr">
        <is>
          <t>2A</t>
        </is>
      </c>
      <c r="B22" s="12" t="inlineStr">
        <is>
          <t>18</t>
        </is>
      </c>
      <c r="C22" s="12" t="inlineStr">
        <is>
          <t>None</t>
        </is>
      </c>
      <c r="D22" s="12" t="inlineStr">
        <is>
          <t>None</t>
        </is>
      </c>
      <c r="E22" s="13" t="n">
        <v>6</v>
      </c>
      <c r="F22" s="13" t="n">
        <v>10</v>
      </c>
      <c r="G22" s="14">
        <f>E22/F22</f>
        <v/>
      </c>
      <c r="H22" s="12">
        <f>RANK(E22, E$6:E$27)</f>
        <v/>
      </c>
      <c r="I22" s="15" t="inlineStr">
        <is>
          <t>C</t>
        </is>
      </c>
      <c r="J22" s="15" t="inlineStr">
        <is>
          <t>A</t>
        </is>
      </c>
      <c r="K22" s="16" t="inlineStr">
        <is>
          <t>B</t>
        </is>
      </c>
      <c r="L22" s="16" t="inlineStr">
        <is>
          <t>C</t>
        </is>
      </c>
      <c r="M22" s="16" t="inlineStr">
        <is>
          <t>C</t>
        </is>
      </c>
      <c r="N22" s="15" t="inlineStr">
        <is>
          <t>B</t>
        </is>
      </c>
      <c r="O22" s="16" t="inlineStr">
        <is>
          <t>A</t>
        </is>
      </c>
      <c r="P22" s="15" t="inlineStr">
        <is>
          <t>A</t>
        </is>
      </c>
      <c r="Q22" s="15" t="inlineStr">
        <is>
          <t>D</t>
        </is>
      </c>
      <c r="R22" s="15" t="inlineStr">
        <is>
          <t>D</t>
        </is>
      </c>
    </row>
    <row r="23">
      <c r="A23" s="22" t="inlineStr">
        <is>
          <t>2A</t>
        </is>
      </c>
      <c r="B23" s="22" t="inlineStr">
        <is>
          <t>19</t>
        </is>
      </c>
      <c r="C23" s="22" t="inlineStr">
        <is>
          <t>None</t>
        </is>
      </c>
      <c r="D23" s="22" t="inlineStr">
        <is>
          <t>None</t>
        </is>
      </c>
      <c r="E23" s="23" t="n">
        <v>2</v>
      </c>
      <c r="F23" s="23" t="n">
        <v>10</v>
      </c>
      <c r="G23" s="24">
        <f>E23/F23</f>
        <v/>
      </c>
      <c r="H23" s="22">
        <f>RANK(E23, E$6:E$27)</f>
        <v/>
      </c>
      <c r="I23" s="28" t="inlineStr">
        <is>
          <t>AMBIG</t>
        </is>
      </c>
      <c r="J23" s="25" t="inlineStr">
        <is>
          <t>A</t>
        </is>
      </c>
      <c r="K23" s="25" t="inlineStr">
        <is>
          <t>C</t>
        </is>
      </c>
      <c r="L23" s="26" t="inlineStr">
        <is>
          <t>B</t>
        </is>
      </c>
      <c r="M23" s="26" t="inlineStr">
        <is>
          <t>C</t>
        </is>
      </c>
      <c r="N23" s="26" t="inlineStr">
        <is>
          <t>D</t>
        </is>
      </c>
      <c r="O23" s="26" t="inlineStr">
        <is>
          <t>C</t>
        </is>
      </c>
      <c r="P23" s="26" t="inlineStr">
        <is>
          <t>B</t>
        </is>
      </c>
      <c r="Q23" s="26" t="inlineStr">
        <is>
          <t>C</t>
        </is>
      </c>
      <c r="R23" s="26" t="inlineStr">
        <is>
          <t>A</t>
        </is>
      </c>
    </row>
    <row r="24">
      <c r="A24" s="12" t="inlineStr">
        <is>
          <t>2A</t>
        </is>
      </c>
      <c r="B24" s="12" t="inlineStr">
        <is>
          <t>20</t>
        </is>
      </c>
      <c r="C24" s="12" t="inlineStr">
        <is>
          <t>None</t>
        </is>
      </c>
      <c r="D24" s="12" t="inlineStr">
        <is>
          <t>None</t>
        </is>
      </c>
      <c r="E24" s="13" t="n">
        <v>9</v>
      </c>
      <c r="F24" s="13" t="n">
        <v>10</v>
      </c>
      <c r="G24" s="14">
        <f>E24/F24</f>
        <v/>
      </c>
      <c r="H24" s="12">
        <f>RANK(E24, E$6:E$27)</f>
        <v/>
      </c>
      <c r="I24" s="15" t="inlineStr">
        <is>
          <t>C</t>
        </is>
      </c>
      <c r="J24" s="15" t="inlineStr">
        <is>
          <t>A</t>
        </is>
      </c>
      <c r="K24" s="15" t="inlineStr">
        <is>
          <t>C</t>
        </is>
      </c>
      <c r="L24" s="15" t="inlineStr">
        <is>
          <t>D</t>
        </is>
      </c>
      <c r="M24" s="16" t="inlineStr">
        <is>
          <t>A</t>
        </is>
      </c>
      <c r="N24" s="15" t="inlineStr">
        <is>
          <t>B</t>
        </is>
      </c>
      <c r="O24" s="15" t="inlineStr">
        <is>
          <t>B</t>
        </is>
      </c>
      <c r="P24" s="15" t="inlineStr">
        <is>
          <t>A</t>
        </is>
      </c>
      <c r="Q24" s="15" t="inlineStr">
        <is>
          <t>D</t>
        </is>
      </c>
      <c r="R24" s="15" t="inlineStr">
        <is>
          <t>D</t>
        </is>
      </c>
    </row>
    <row r="25">
      <c r="A25" s="22" t="inlineStr">
        <is>
          <t>2A</t>
        </is>
      </c>
      <c r="B25" s="22" t="inlineStr">
        <is>
          <t>21</t>
        </is>
      </c>
      <c r="C25" s="22" t="inlineStr">
        <is>
          <t>None</t>
        </is>
      </c>
      <c r="D25" s="22" t="inlineStr">
        <is>
          <t>None</t>
        </is>
      </c>
      <c r="E25" s="23" t="n">
        <v>9</v>
      </c>
      <c r="F25" s="23" t="n">
        <v>10</v>
      </c>
      <c r="G25" s="24">
        <f>E25/F25</f>
        <v/>
      </c>
      <c r="H25" s="22">
        <f>RANK(E25, E$6:E$27)</f>
        <v/>
      </c>
      <c r="I25" s="25" t="inlineStr">
        <is>
          <t>C</t>
        </is>
      </c>
      <c r="J25" s="25" t="inlineStr">
        <is>
          <t>A</t>
        </is>
      </c>
      <c r="K25" s="25" t="inlineStr">
        <is>
          <t>C</t>
        </is>
      </c>
      <c r="L25" s="25" t="inlineStr">
        <is>
          <t>D</t>
        </is>
      </c>
      <c r="M25" s="26" t="inlineStr">
        <is>
          <t>A</t>
        </is>
      </c>
      <c r="N25" s="25" t="inlineStr">
        <is>
          <t>B</t>
        </is>
      </c>
      <c r="O25" s="25" t="inlineStr">
        <is>
          <t>B</t>
        </is>
      </c>
      <c r="P25" s="25" t="inlineStr">
        <is>
          <t>A</t>
        </is>
      </c>
      <c r="Q25" s="25" t="inlineStr">
        <is>
          <t>D</t>
        </is>
      </c>
      <c r="R25" s="25" t="inlineStr">
        <is>
          <t>D</t>
        </is>
      </c>
    </row>
    <row r="26">
      <c r="A26" s="12" t="inlineStr">
        <is>
          <t>2A</t>
        </is>
      </c>
      <c r="B26" s="12" t="inlineStr">
        <is>
          <t>22</t>
        </is>
      </c>
      <c r="C26" s="12" t="inlineStr">
        <is>
          <t>None</t>
        </is>
      </c>
      <c r="D26" s="12" t="inlineStr">
        <is>
          <t>None</t>
        </is>
      </c>
      <c r="E26" s="13" t="n">
        <v>4</v>
      </c>
      <c r="F26" s="13" t="n">
        <v>10</v>
      </c>
      <c r="G26" s="14">
        <f>E26/F26</f>
        <v/>
      </c>
      <c r="H26" s="12">
        <f>RANK(E26, E$6:E$27)</f>
        <v/>
      </c>
      <c r="I26" s="16" t="inlineStr">
        <is>
          <t>D</t>
        </is>
      </c>
      <c r="J26" s="15" t="inlineStr">
        <is>
          <t>A</t>
        </is>
      </c>
      <c r="K26" s="15" t="inlineStr">
        <is>
          <t>C</t>
        </is>
      </c>
      <c r="L26" s="15" t="inlineStr">
        <is>
          <t>D</t>
        </is>
      </c>
      <c r="M26" s="16" t="inlineStr">
        <is>
          <t>A</t>
        </is>
      </c>
      <c r="N26" s="16" t="inlineStr">
        <is>
          <t>D</t>
        </is>
      </c>
      <c r="O26" s="16" t="inlineStr">
        <is>
          <t>A</t>
        </is>
      </c>
      <c r="P26" s="15" t="inlineStr">
        <is>
          <t>A</t>
        </is>
      </c>
      <c r="Q26" s="16" t="inlineStr">
        <is>
          <t>A</t>
        </is>
      </c>
      <c r="R26" s="16" t="inlineStr">
        <is>
          <t>B</t>
        </is>
      </c>
    </row>
    <row r="27">
      <c r="A27" s="22" t="inlineStr">
        <is>
          <t>2A</t>
        </is>
      </c>
      <c r="B27" s="22" t="inlineStr">
        <is>
          <t>23</t>
        </is>
      </c>
      <c r="C27" s="22" t="inlineStr">
        <is>
          <t>None</t>
        </is>
      </c>
      <c r="D27" s="22" t="inlineStr">
        <is>
          <t>None</t>
        </is>
      </c>
      <c r="E27" s="23" t="n">
        <v>8</v>
      </c>
      <c r="F27" s="23" t="n">
        <v>10</v>
      </c>
      <c r="G27" s="24">
        <f>E27/F27</f>
        <v/>
      </c>
      <c r="H27" s="22">
        <f>RANK(E27, E$6:E$27)</f>
        <v/>
      </c>
      <c r="I27" s="25" t="inlineStr">
        <is>
          <t>C</t>
        </is>
      </c>
      <c r="J27" s="25" t="inlineStr">
        <is>
          <t>A</t>
        </is>
      </c>
      <c r="K27" s="25" t="inlineStr">
        <is>
          <t>C</t>
        </is>
      </c>
      <c r="L27" s="25" t="inlineStr">
        <is>
          <t>D</t>
        </is>
      </c>
      <c r="M27" s="25" t="inlineStr">
        <is>
          <t>B</t>
        </is>
      </c>
      <c r="N27" s="25" t="inlineStr">
        <is>
          <t>B</t>
        </is>
      </c>
      <c r="O27" s="28" t="inlineStr">
        <is>
          <t>AMBIG</t>
        </is>
      </c>
      <c r="P27" s="25" t="inlineStr">
        <is>
          <t>A</t>
        </is>
      </c>
      <c r="Q27" s="26" t="inlineStr">
        <is>
          <t>A</t>
        </is>
      </c>
      <c r="R27" s="25" t="inlineStr">
        <is>
          <t>D</t>
        </is>
      </c>
    </row>
    <row r="28">
      <c r="A28" s="17" t="inlineStr">
        <is>
          <t>Class Average</t>
        </is>
      </c>
      <c r="B28" s="18" t="n"/>
      <c r="C28" s="18" t="n"/>
      <c r="D28" s="18" t="n"/>
      <c r="E28" s="19">
        <f>AVERAGE(E6:E27)</f>
        <v/>
      </c>
      <c r="F28" s="18" t="inlineStr"/>
      <c r="G28" s="20">
        <f>AVERAGE(G6:G27)</f>
        <v/>
      </c>
      <c r="H28" s="21">
        <f>COUNTIF(G6:G27,"&gt;=50%")/COUNT(G6:G27)</f>
        <v/>
      </c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</row>
  </sheetData>
  <mergeCells count="1">
    <mergeCell ref="A28:D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6"/>
  <sheetViews>
    <sheetView showGridLines="1" workbookViewId="0">
      <pane xSplit="8" ySplit="5" topLeftCell="I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5" customWidth="1" min="2" max="2"/>
    <col width="14" customWidth="1" min="3" max="3"/>
    <col width="15" customWidth="1" min="4" max="4"/>
    <col width="19" customWidth="1" min="5" max="5"/>
    <col width="11" customWidth="1" min="6" max="6"/>
    <col width="19" customWidth="1" min="7" max="7"/>
    <col width="4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Student Performance Roster - Class 2B</t>
        </is>
      </c>
    </row>
    <row r="2"/>
    <row r="3"/>
    <row r="4">
      <c r="A4" s="10" t="inlineStr">
        <is>
          <t>Class</t>
        </is>
      </c>
      <c r="B4" s="10" t="inlineStr">
        <is>
          <t>Class Number</t>
        </is>
      </c>
      <c r="C4" s="10" t="inlineStr">
        <is>
          <t>Reg. Number</t>
        </is>
      </c>
      <c r="D4" s="10" t="inlineStr">
        <is>
          <t>Subject Code</t>
        </is>
      </c>
      <c r="E4" s="10" t="inlineStr">
        <is>
          <t>Score</t>
        </is>
      </c>
      <c r="F4" s="10" t="inlineStr">
        <is>
          <t>Total</t>
        </is>
      </c>
      <c r="G4" s="10" t="inlineStr">
        <is>
          <t>Percentage</t>
        </is>
      </c>
      <c r="H4" s="10" t="inlineStr">
        <is>
          <t>Class Rank</t>
        </is>
      </c>
      <c r="I4" s="10" t="inlineStr">
        <is>
          <t>Q1</t>
        </is>
      </c>
      <c r="J4" s="10" t="inlineStr">
        <is>
          <t>Q2</t>
        </is>
      </c>
      <c r="K4" s="10" t="inlineStr">
        <is>
          <t>Q3</t>
        </is>
      </c>
      <c r="L4" s="10" t="inlineStr">
        <is>
          <t>Q4</t>
        </is>
      </c>
      <c r="M4" s="10" t="inlineStr">
        <is>
          <t>Q5</t>
        </is>
      </c>
      <c r="N4" s="10" t="inlineStr">
        <is>
          <t>Q6</t>
        </is>
      </c>
      <c r="O4" s="10" t="inlineStr">
        <is>
          <t>Q7</t>
        </is>
      </c>
      <c r="P4" s="10" t="inlineStr">
        <is>
          <t>Q8</t>
        </is>
      </c>
      <c r="Q4" s="10" t="inlineStr">
        <is>
          <t>Q9</t>
        </is>
      </c>
      <c r="R4" s="10" t="inlineStr">
        <is>
          <t>Q10</t>
        </is>
      </c>
    </row>
    <row r="5">
      <c r="A5" s="11" t="inlineStr">
        <is>
          <t>KEY</t>
        </is>
      </c>
      <c r="B5" s="11" t="inlineStr">
        <is>
          <t>-</t>
        </is>
      </c>
      <c r="C5" s="11" t="inlineStr">
        <is>
          <t>-</t>
        </is>
      </c>
      <c r="D5" s="11" t="inlineStr">
        <is>
          <t>-</t>
        </is>
      </c>
      <c r="E5" s="11" t="inlineStr">
        <is>
          <t>-</t>
        </is>
      </c>
      <c r="F5" s="11" t="inlineStr">
        <is>
          <t>-</t>
        </is>
      </c>
      <c r="G5" s="11" t="inlineStr">
        <is>
          <t>-</t>
        </is>
      </c>
      <c r="H5" s="11" t="inlineStr">
        <is>
          <t>-</t>
        </is>
      </c>
      <c r="I5" s="11" t="inlineStr">
        <is>
          <t>C</t>
        </is>
      </c>
      <c r="J5" s="11" t="inlineStr">
        <is>
          <t>A</t>
        </is>
      </c>
      <c r="K5" s="11" t="inlineStr">
        <is>
          <t>C</t>
        </is>
      </c>
      <c r="L5" s="11" t="inlineStr">
        <is>
          <t>D</t>
        </is>
      </c>
      <c r="M5" s="11" t="inlineStr">
        <is>
          <t>B</t>
        </is>
      </c>
      <c r="N5" s="11" t="inlineStr">
        <is>
          <t>B</t>
        </is>
      </c>
      <c r="O5" s="11" t="inlineStr">
        <is>
          <t>B</t>
        </is>
      </c>
      <c r="P5" s="11" t="inlineStr">
        <is>
          <t>A</t>
        </is>
      </c>
      <c r="Q5" s="11" t="inlineStr">
        <is>
          <t>D</t>
        </is>
      </c>
      <c r="R5" s="11" t="inlineStr">
        <is>
          <t>D</t>
        </is>
      </c>
    </row>
    <row r="6">
      <c r="A6" s="12" t="inlineStr">
        <is>
          <t>2B</t>
        </is>
      </c>
      <c r="B6" s="12" t="inlineStr">
        <is>
          <t>01</t>
        </is>
      </c>
      <c r="C6" s="12" t="inlineStr">
        <is>
          <t>None</t>
        </is>
      </c>
      <c r="D6" s="12" t="inlineStr">
        <is>
          <t>None</t>
        </is>
      </c>
      <c r="E6" s="13" t="n">
        <v>2</v>
      </c>
      <c r="F6" s="13" t="n">
        <v>10</v>
      </c>
      <c r="G6" s="14">
        <f>E6/F6</f>
        <v/>
      </c>
      <c r="H6" s="12">
        <f>RANK(E6, E$6:E$25)</f>
        <v/>
      </c>
      <c r="I6" s="16" t="inlineStr">
        <is>
          <t>B</t>
        </is>
      </c>
      <c r="J6" s="15" t="inlineStr">
        <is>
          <t>A</t>
        </is>
      </c>
      <c r="K6" s="16" t="inlineStr">
        <is>
          <t>A</t>
        </is>
      </c>
      <c r="L6" s="16" t="inlineStr">
        <is>
          <t>A</t>
        </is>
      </c>
      <c r="M6" s="16" t="inlineStr">
        <is>
          <t>C</t>
        </is>
      </c>
      <c r="N6" s="16" t="inlineStr">
        <is>
          <t>A</t>
        </is>
      </c>
      <c r="O6" s="16" t="inlineStr">
        <is>
          <t>A</t>
        </is>
      </c>
      <c r="P6" s="16" t="inlineStr">
        <is>
          <t>C</t>
        </is>
      </c>
      <c r="Q6" s="16" t="inlineStr">
        <is>
          <t>C</t>
        </is>
      </c>
      <c r="R6" s="15" t="inlineStr">
        <is>
          <t>D</t>
        </is>
      </c>
    </row>
    <row r="7">
      <c r="A7" s="22" t="inlineStr">
        <is>
          <t>2B</t>
        </is>
      </c>
      <c r="B7" s="22" t="inlineStr">
        <is>
          <t>02</t>
        </is>
      </c>
      <c r="C7" s="22" t="inlineStr">
        <is>
          <t>None</t>
        </is>
      </c>
      <c r="D7" s="22" t="inlineStr">
        <is>
          <t>None</t>
        </is>
      </c>
      <c r="E7" s="23" t="n">
        <v>3</v>
      </c>
      <c r="F7" s="23" t="n">
        <v>10</v>
      </c>
      <c r="G7" s="24">
        <f>E7/F7</f>
        <v/>
      </c>
      <c r="H7" s="22">
        <f>RANK(E7, E$6:E$25)</f>
        <v/>
      </c>
      <c r="I7" s="26" t="inlineStr">
        <is>
          <t>D</t>
        </is>
      </c>
      <c r="J7" s="26" t="inlineStr">
        <is>
          <t>C</t>
        </is>
      </c>
      <c r="K7" s="26" t="inlineStr">
        <is>
          <t>B</t>
        </is>
      </c>
      <c r="L7" s="25" t="inlineStr">
        <is>
          <t>D</t>
        </is>
      </c>
      <c r="M7" s="26" t="inlineStr">
        <is>
          <t>A</t>
        </is>
      </c>
      <c r="N7" s="25" t="inlineStr">
        <is>
          <t>B</t>
        </is>
      </c>
      <c r="O7" s="26" t="inlineStr">
        <is>
          <t>A</t>
        </is>
      </c>
      <c r="P7" s="26" t="inlineStr">
        <is>
          <t>C</t>
        </is>
      </c>
      <c r="Q7" s="26" t="inlineStr">
        <is>
          <t>C</t>
        </is>
      </c>
      <c r="R7" s="25" t="inlineStr">
        <is>
          <t>D</t>
        </is>
      </c>
    </row>
    <row r="8">
      <c r="A8" s="12" t="inlineStr">
        <is>
          <t>2B</t>
        </is>
      </c>
      <c r="B8" s="12" t="inlineStr">
        <is>
          <t>03</t>
        </is>
      </c>
      <c r="C8" s="12" t="inlineStr">
        <is>
          <t>None</t>
        </is>
      </c>
      <c r="D8" s="12" t="inlineStr">
        <is>
          <t>None</t>
        </is>
      </c>
      <c r="E8" s="13" t="n">
        <v>4</v>
      </c>
      <c r="F8" s="13" t="n">
        <v>10</v>
      </c>
      <c r="G8" s="14">
        <f>E8/F8</f>
        <v/>
      </c>
      <c r="H8" s="12">
        <f>RANK(E8, E$6:E$25)</f>
        <v/>
      </c>
      <c r="I8" s="16" t="inlineStr">
        <is>
          <t>B</t>
        </is>
      </c>
      <c r="J8" s="15" t="inlineStr">
        <is>
          <t>A</t>
        </is>
      </c>
      <c r="K8" s="15" t="inlineStr">
        <is>
          <t>C</t>
        </is>
      </c>
      <c r="L8" s="16" t="inlineStr">
        <is>
          <t>A</t>
        </is>
      </c>
      <c r="M8" s="16" t="inlineStr">
        <is>
          <t>D</t>
        </is>
      </c>
      <c r="N8" s="15" t="inlineStr">
        <is>
          <t>B</t>
        </is>
      </c>
      <c r="O8" s="15" t="inlineStr">
        <is>
          <t>B</t>
        </is>
      </c>
      <c r="P8" s="16" t="inlineStr">
        <is>
          <t>C</t>
        </is>
      </c>
      <c r="Q8" s="16" t="inlineStr">
        <is>
          <t>A</t>
        </is>
      </c>
      <c r="R8" s="16" t="inlineStr">
        <is>
          <t>B</t>
        </is>
      </c>
    </row>
    <row r="9">
      <c r="A9" s="22" t="inlineStr">
        <is>
          <t>2B</t>
        </is>
      </c>
      <c r="B9" s="22" t="inlineStr">
        <is>
          <t>04</t>
        </is>
      </c>
      <c r="C9" s="22" t="inlineStr">
        <is>
          <t>None</t>
        </is>
      </c>
      <c r="D9" s="22" t="inlineStr">
        <is>
          <t>None</t>
        </is>
      </c>
      <c r="E9" s="23" t="n">
        <v>3</v>
      </c>
      <c r="F9" s="23" t="n">
        <v>10</v>
      </c>
      <c r="G9" s="24">
        <f>E9/F9</f>
        <v/>
      </c>
      <c r="H9" s="22">
        <f>RANK(E9, E$6:E$25)</f>
        <v/>
      </c>
      <c r="I9" s="26" t="inlineStr">
        <is>
          <t>A</t>
        </is>
      </c>
      <c r="J9" s="25" t="inlineStr">
        <is>
          <t>A</t>
        </is>
      </c>
      <c r="K9" s="25" t="inlineStr">
        <is>
          <t>C</t>
        </is>
      </c>
      <c r="L9" s="26" t="inlineStr">
        <is>
          <t>A</t>
        </is>
      </c>
      <c r="M9" s="26" t="inlineStr">
        <is>
          <t>A</t>
        </is>
      </c>
      <c r="N9" s="26" t="inlineStr">
        <is>
          <t>C</t>
        </is>
      </c>
      <c r="O9" s="25" t="inlineStr">
        <is>
          <t>B</t>
        </is>
      </c>
      <c r="P9" s="26" t="inlineStr">
        <is>
          <t>D</t>
        </is>
      </c>
      <c r="Q9" s="26" t="inlineStr">
        <is>
          <t>B</t>
        </is>
      </c>
      <c r="R9" s="26" t="inlineStr">
        <is>
          <t>B</t>
        </is>
      </c>
    </row>
    <row r="10">
      <c r="A10" s="12" t="inlineStr">
        <is>
          <t>2B</t>
        </is>
      </c>
      <c r="B10" s="12" t="inlineStr">
        <is>
          <t>05</t>
        </is>
      </c>
      <c r="C10" s="12" t="inlineStr">
        <is>
          <t>None</t>
        </is>
      </c>
      <c r="D10" s="12" t="inlineStr">
        <is>
          <t>None</t>
        </is>
      </c>
      <c r="E10" s="13" t="n">
        <v>2</v>
      </c>
      <c r="F10" s="13" t="n">
        <v>10</v>
      </c>
      <c r="G10" s="14">
        <f>E10/F10</f>
        <v/>
      </c>
      <c r="H10" s="12">
        <f>RANK(E10, E$6:E$25)</f>
        <v/>
      </c>
      <c r="I10" s="15" t="inlineStr">
        <is>
          <t>C</t>
        </is>
      </c>
      <c r="J10" s="16" t="inlineStr">
        <is>
          <t>B</t>
        </is>
      </c>
      <c r="K10" s="16" t="inlineStr">
        <is>
          <t>D</t>
        </is>
      </c>
      <c r="L10" s="16" t="inlineStr">
        <is>
          <t>A</t>
        </is>
      </c>
      <c r="M10" s="16" t="inlineStr">
        <is>
          <t>C</t>
        </is>
      </c>
      <c r="N10" s="16" t="inlineStr">
        <is>
          <t>A</t>
        </is>
      </c>
      <c r="O10" s="15" t="inlineStr">
        <is>
          <t>B</t>
        </is>
      </c>
      <c r="P10" s="16" t="inlineStr">
        <is>
          <t>C</t>
        </is>
      </c>
      <c r="Q10" s="16" t="inlineStr">
        <is>
          <t>C</t>
        </is>
      </c>
      <c r="R10" s="16" t="inlineStr">
        <is>
          <t>B</t>
        </is>
      </c>
    </row>
    <row r="11">
      <c r="A11" s="22" t="inlineStr">
        <is>
          <t>2B</t>
        </is>
      </c>
      <c r="B11" s="22" t="inlineStr">
        <is>
          <t>06</t>
        </is>
      </c>
      <c r="C11" s="22" t="inlineStr">
        <is>
          <t>None</t>
        </is>
      </c>
      <c r="D11" s="22" t="inlineStr">
        <is>
          <t>None</t>
        </is>
      </c>
      <c r="E11" s="23" t="n">
        <v>4</v>
      </c>
      <c r="F11" s="23" t="n">
        <v>10</v>
      </c>
      <c r="G11" s="24">
        <f>E11/F11</f>
        <v/>
      </c>
      <c r="H11" s="22">
        <f>RANK(E11, E$6:E$25)</f>
        <v/>
      </c>
      <c r="I11" s="25" t="inlineStr">
        <is>
          <t>C</t>
        </is>
      </c>
      <c r="J11" s="25" t="inlineStr">
        <is>
          <t>A</t>
        </is>
      </c>
      <c r="K11" s="25" t="inlineStr">
        <is>
          <t>C</t>
        </is>
      </c>
      <c r="L11" s="26" t="inlineStr">
        <is>
          <t>B</t>
        </is>
      </c>
      <c r="M11" s="26" t="inlineStr">
        <is>
          <t>C</t>
        </is>
      </c>
      <c r="N11" s="25" t="inlineStr">
        <is>
          <t>B</t>
        </is>
      </c>
      <c r="O11" s="26" t="inlineStr">
        <is>
          <t>A</t>
        </is>
      </c>
      <c r="P11" s="26" t="inlineStr">
        <is>
          <t>D</t>
        </is>
      </c>
      <c r="Q11" s="26" t="inlineStr">
        <is>
          <t>C</t>
        </is>
      </c>
      <c r="R11" s="26" t="inlineStr">
        <is>
          <t>A</t>
        </is>
      </c>
    </row>
    <row r="12">
      <c r="A12" s="12" t="inlineStr">
        <is>
          <t>2B</t>
        </is>
      </c>
      <c r="B12" s="12" t="inlineStr">
        <is>
          <t>07</t>
        </is>
      </c>
      <c r="C12" s="12" t="inlineStr">
        <is>
          <t>None</t>
        </is>
      </c>
      <c r="D12" s="12" t="inlineStr">
        <is>
          <t>None</t>
        </is>
      </c>
      <c r="E12" s="13" t="n">
        <v>4</v>
      </c>
      <c r="F12" s="13" t="n">
        <v>10</v>
      </c>
      <c r="G12" s="14">
        <f>E12/F12</f>
        <v/>
      </c>
      <c r="H12" s="12">
        <f>RANK(E12, E$6:E$25)</f>
        <v/>
      </c>
      <c r="I12" s="16" t="inlineStr">
        <is>
          <t>D</t>
        </is>
      </c>
      <c r="J12" s="15" t="inlineStr">
        <is>
          <t>A</t>
        </is>
      </c>
      <c r="K12" s="16" t="inlineStr">
        <is>
          <t>A</t>
        </is>
      </c>
      <c r="L12" s="15" t="inlineStr">
        <is>
          <t>D</t>
        </is>
      </c>
      <c r="M12" s="16" t="inlineStr">
        <is>
          <t>A</t>
        </is>
      </c>
      <c r="N12" s="15" t="inlineStr">
        <is>
          <t>B</t>
        </is>
      </c>
      <c r="O12" s="16" t="inlineStr">
        <is>
          <t>C</t>
        </is>
      </c>
      <c r="P12" s="15" t="inlineStr">
        <is>
          <t>A</t>
        </is>
      </c>
      <c r="Q12" s="16" t="inlineStr">
        <is>
          <t>B</t>
        </is>
      </c>
      <c r="R12" s="16" t="inlineStr">
        <is>
          <t>C</t>
        </is>
      </c>
    </row>
    <row r="13">
      <c r="A13" s="22" t="inlineStr">
        <is>
          <t>2B</t>
        </is>
      </c>
      <c r="B13" s="22" t="inlineStr">
        <is>
          <t>08</t>
        </is>
      </c>
      <c r="C13" s="22" t="inlineStr">
        <is>
          <t>None</t>
        </is>
      </c>
      <c r="D13" s="22" t="inlineStr">
        <is>
          <t>None</t>
        </is>
      </c>
      <c r="E13" s="23" t="n">
        <v>4</v>
      </c>
      <c r="F13" s="23" t="n">
        <v>10</v>
      </c>
      <c r="G13" s="24">
        <f>E13/F13</f>
        <v/>
      </c>
      <c r="H13" s="22">
        <f>RANK(E13, E$6:E$25)</f>
        <v/>
      </c>
      <c r="I13" s="25" t="inlineStr">
        <is>
          <t>C</t>
        </is>
      </c>
      <c r="J13" s="25" t="inlineStr">
        <is>
          <t>A</t>
        </is>
      </c>
      <c r="K13" s="25" t="inlineStr">
        <is>
          <t>C</t>
        </is>
      </c>
      <c r="L13" s="28" t="inlineStr">
        <is>
          <t>AMBIG</t>
        </is>
      </c>
      <c r="M13" s="26" t="inlineStr">
        <is>
          <t>C</t>
        </is>
      </c>
      <c r="N13" s="26" t="inlineStr">
        <is>
          <t>A</t>
        </is>
      </c>
      <c r="O13" s="25" t="inlineStr">
        <is>
          <t>B</t>
        </is>
      </c>
      <c r="P13" s="28" t="inlineStr">
        <is>
          <t>AMBIG</t>
        </is>
      </c>
      <c r="Q13" s="26" t="inlineStr">
        <is>
          <t>A</t>
        </is>
      </c>
      <c r="R13" s="26" t="inlineStr">
        <is>
          <t>B</t>
        </is>
      </c>
    </row>
    <row r="14">
      <c r="A14" s="12" t="inlineStr">
        <is>
          <t>2B</t>
        </is>
      </c>
      <c r="B14" s="12" t="inlineStr">
        <is>
          <t>09</t>
        </is>
      </c>
      <c r="C14" s="12" t="inlineStr">
        <is>
          <t>None</t>
        </is>
      </c>
      <c r="D14" s="12" t="inlineStr">
        <is>
          <t>None</t>
        </is>
      </c>
      <c r="E14" s="13" t="n">
        <v>7</v>
      </c>
      <c r="F14" s="13" t="n">
        <v>10</v>
      </c>
      <c r="G14" s="14">
        <f>E14/F14</f>
        <v/>
      </c>
      <c r="H14" s="12">
        <f>RANK(E14, E$6:E$25)</f>
        <v/>
      </c>
      <c r="I14" s="15" t="inlineStr">
        <is>
          <t>C</t>
        </is>
      </c>
      <c r="J14" s="15" t="inlineStr">
        <is>
          <t>A</t>
        </is>
      </c>
      <c r="K14" s="16" t="inlineStr">
        <is>
          <t>B</t>
        </is>
      </c>
      <c r="L14" s="15" t="inlineStr">
        <is>
          <t>D</t>
        </is>
      </c>
      <c r="M14" s="27" t="inlineStr">
        <is>
          <t>BLANK</t>
        </is>
      </c>
      <c r="N14" s="15" t="inlineStr">
        <is>
          <t>B</t>
        </is>
      </c>
      <c r="O14" s="15" t="inlineStr">
        <is>
          <t>B</t>
        </is>
      </c>
      <c r="P14" s="15" t="inlineStr">
        <is>
          <t>A</t>
        </is>
      </c>
      <c r="Q14" s="16" t="inlineStr">
        <is>
          <t>B</t>
        </is>
      </c>
      <c r="R14" s="15" t="inlineStr">
        <is>
          <t>D</t>
        </is>
      </c>
    </row>
    <row r="15">
      <c r="A15" s="22" t="inlineStr">
        <is>
          <t>2B</t>
        </is>
      </c>
      <c r="B15" s="22" t="inlineStr">
        <is>
          <t>1</t>
        </is>
      </c>
      <c r="C15" s="22" t="inlineStr">
        <is>
          <t>None</t>
        </is>
      </c>
      <c r="D15" s="22" t="inlineStr">
        <is>
          <t>None</t>
        </is>
      </c>
      <c r="E15" s="23" t="n">
        <v>6</v>
      </c>
      <c r="F15" s="23" t="n">
        <v>10</v>
      </c>
      <c r="G15" s="24">
        <f>E15/F15</f>
        <v/>
      </c>
      <c r="H15" s="22">
        <f>RANK(E15, E$6:E$25)</f>
        <v/>
      </c>
      <c r="I15" s="25" t="inlineStr">
        <is>
          <t>C</t>
        </is>
      </c>
      <c r="J15" s="25" t="inlineStr">
        <is>
          <t>A</t>
        </is>
      </c>
      <c r="K15" s="26" t="inlineStr">
        <is>
          <t>B</t>
        </is>
      </c>
      <c r="L15" s="25" t="inlineStr">
        <is>
          <t>D</t>
        </is>
      </c>
      <c r="M15" s="26" t="inlineStr">
        <is>
          <t>A</t>
        </is>
      </c>
      <c r="N15" s="25" t="inlineStr">
        <is>
          <t>B</t>
        </is>
      </c>
      <c r="O15" s="25" t="inlineStr">
        <is>
          <t>B</t>
        </is>
      </c>
      <c r="P15" s="25" t="inlineStr">
        <is>
          <t>A</t>
        </is>
      </c>
      <c r="Q15" s="26" t="inlineStr">
        <is>
          <t>B</t>
        </is>
      </c>
      <c r="R15" s="26" t="inlineStr">
        <is>
          <t>B</t>
        </is>
      </c>
    </row>
    <row r="16">
      <c r="A16" s="12" t="inlineStr">
        <is>
          <t>2B</t>
        </is>
      </c>
      <c r="B16" s="12" t="inlineStr">
        <is>
          <t>12</t>
        </is>
      </c>
      <c r="C16" s="12" t="inlineStr">
        <is>
          <t>None</t>
        </is>
      </c>
      <c r="D16" s="12" t="inlineStr">
        <is>
          <t>None</t>
        </is>
      </c>
      <c r="E16" s="13" t="n">
        <v>7</v>
      </c>
      <c r="F16" s="13" t="n">
        <v>10</v>
      </c>
      <c r="G16" s="14">
        <f>E16/F16</f>
        <v/>
      </c>
      <c r="H16" s="12">
        <f>RANK(E16, E$6:E$25)</f>
        <v/>
      </c>
      <c r="I16" s="15" t="inlineStr">
        <is>
          <t>C</t>
        </is>
      </c>
      <c r="J16" s="15" t="inlineStr">
        <is>
          <t>A</t>
        </is>
      </c>
      <c r="K16" s="15" t="inlineStr">
        <is>
          <t>C</t>
        </is>
      </c>
      <c r="L16" s="15" t="inlineStr">
        <is>
          <t>D</t>
        </is>
      </c>
      <c r="M16" s="16" t="inlineStr">
        <is>
          <t>C</t>
        </is>
      </c>
      <c r="N16" s="15" t="inlineStr">
        <is>
          <t>B</t>
        </is>
      </c>
      <c r="O16" s="15" t="inlineStr">
        <is>
          <t>B</t>
        </is>
      </c>
      <c r="P16" s="15" t="inlineStr">
        <is>
          <t>A</t>
        </is>
      </c>
      <c r="Q16" s="16" t="inlineStr">
        <is>
          <t>C</t>
        </is>
      </c>
      <c r="R16" s="16" t="inlineStr">
        <is>
          <t>A</t>
        </is>
      </c>
    </row>
    <row r="17">
      <c r="A17" s="22" t="inlineStr">
        <is>
          <t>2B</t>
        </is>
      </c>
      <c r="B17" s="22" t="inlineStr">
        <is>
          <t>13</t>
        </is>
      </c>
      <c r="C17" s="22" t="inlineStr">
        <is>
          <t>None</t>
        </is>
      </c>
      <c r="D17" s="22" t="inlineStr">
        <is>
          <t>None</t>
        </is>
      </c>
      <c r="E17" s="23" t="n">
        <v>3</v>
      </c>
      <c r="F17" s="23" t="n">
        <v>10</v>
      </c>
      <c r="G17" s="24">
        <f>E17/F17</f>
        <v/>
      </c>
      <c r="H17" s="22">
        <f>RANK(E17, E$6:E$25)</f>
        <v/>
      </c>
      <c r="I17" s="25" t="inlineStr">
        <is>
          <t>C</t>
        </is>
      </c>
      <c r="J17" s="26" t="inlineStr">
        <is>
          <t>B</t>
        </is>
      </c>
      <c r="K17" s="26" t="inlineStr">
        <is>
          <t>B</t>
        </is>
      </c>
      <c r="L17" s="26" t="inlineStr">
        <is>
          <t>B</t>
        </is>
      </c>
      <c r="M17" s="26" t="inlineStr">
        <is>
          <t>C</t>
        </is>
      </c>
      <c r="N17" s="26" t="inlineStr">
        <is>
          <t>C</t>
        </is>
      </c>
      <c r="O17" s="26" t="inlineStr">
        <is>
          <t>D</t>
        </is>
      </c>
      <c r="P17" s="25" t="inlineStr">
        <is>
          <t>A</t>
        </is>
      </c>
      <c r="Q17" s="26" t="inlineStr">
        <is>
          <t>C</t>
        </is>
      </c>
      <c r="R17" s="25" t="inlineStr">
        <is>
          <t>D</t>
        </is>
      </c>
    </row>
    <row r="18">
      <c r="A18" s="12" t="inlineStr">
        <is>
          <t>2B</t>
        </is>
      </c>
      <c r="B18" s="12" t="inlineStr">
        <is>
          <t>15</t>
        </is>
      </c>
      <c r="C18" s="12" t="inlineStr">
        <is>
          <t>None</t>
        </is>
      </c>
      <c r="D18" s="12" t="inlineStr">
        <is>
          <t>None</t>
        </is>
      </c>
      <c r="E18" s="13" t="n">
        <v>2</v>
      </c>
      <c r="F18" s="13" t="n">
        <v>10</v>
      </c>
      <c r="G18" s="14">
        <f>E18/F18</f>
        <v/>
      </c>
      <c r="H18" s="12">
        <f>RANK(E18, E$6:E$25)</f>
        <v/>
      </c>
      <c r="I18" s="16" t="inlineStr">
        <is>
          <t>B</t>
        </is>
      </c>
      <c r="J18" s="16" t="inlineStr">
        <is>
          <t>D</t>
        </is>
      </c>
      <c r="K18" s="16" t="inlineStr">
        <is>
          <t>A</t>
        </is>
      </c>
      <c r="L18" s="15" t="inlineStr">
        <is>
          <t>D</t>
        </is>
      </c>
      <c r="M18" s="16" t="inlineStr">
        <is>
          <t>D</t>
        </is>
      </c>
      <c r="N18" s="16" t="inlineStr">
        <is>
          <t>A</t>
        </is>
      </c>
      <c r="O18" s="16" t="inlineStr">
        <is>
          <t>C</t>
        </is>
      </c>
      <c r="P18" s="16" t="inlineStr">
        <is>
          <t>C</t>
        </is>
      </c>
      <c r="Q18" s="16" t="inlineStr">
        <is>
          <t>B</t>
        </is>
      </c>
      <c r="R18" s="15" t="inlineStr">
        <is>
          <t>D</t>
        </is>
      </c>
    </row>
    <row r="19">
      <c r="A19" s="22" t="inlineStr">
        <is>
          <t>2B</t>
        </is>
      </c>
      <c r="B19" s="22" t="inlineStr">
        <is>
          <t>16</t>
        </is>
      </c>
      <c r="C19" s="22" t="inlineStr">
        <is>
          <t>None</t>
        </is>
      </c>
      <c r="D19" s="22" t="inlineStr">
        <is>
          <t>None</t>
        </is>
      </c>
      <c r="E19" s="23" t="n">
        <v>7</v>
      </c>
      <c r="F19" s="23" t="n">
        <v>10</v>
      </c>
      <c r="G19" s="24">
        <f>E19/F19</f>
        <v/>
      </c>
      <c r="H19" s="22">
        <f>RANK(E19, E$6:E$25)</f>
        <v/>
      </c>
      <c r="I19" s="25" t="inlineStr">
        <is>
          <t>C</t>
        </is>
      </c>
      <c r="J19" s="25" t="inlineStr">
        <is>
          <t>A</t>
        </is>
      </c>
      <c r="K19" s="25" t="inlineStr">
        <is>
          <t>C</t>
        </is>
      </c>
      <c r="L19" s="25" t="inlineStr">
        <is>
          <t>D</t>
        </is>
      </c>
      <c r="M19" s="25" t="inlineStr">
        <is>
          <t>B</t>
        </is>
      </c>
      <c r="N19" s="25" t="inlineStr">
        <is>
          <t>B</t>
        </is>
      </c>
      <c r="O19" s="26" t="inlineStr">
        <is>
          <t>A</t>
        </is>
      </c>
      <c r="P19" s="26" t="inlineStr">
        <is>
          <t>B</t>
        </is>
      </c>
      <c r="Q19" s="26" t="inlineStr">
        <is>
          <t>C</t>
        </is>
      </c>
      <c r="R19" s="25" t="inlineStr">
        <is>
          <t>D</t>
        </is>
      </c>
    </row>
    <row r="20">
      <c r="A20" s="12" t="inlineStr">
        <is>
          <t>2B</t>
        </is>
      </c>
      <c r="B20" s="12" t="inlineStr">
        <is>
          <t>17</t>
        </is>
      </c>
      <c r="C20" s="12" t="inlineStr">
        <is>
          <t>None</t>
        </is>
      </c>
      <c r="D20" s="12" t="inlineStr">
        <is>
          <t>None</t>
        </is>
      </c>
      <c r="E20" s="13" t="n">
        <v>5</v>
      </c>
      <c r="F20" s="13" t="n">
        <v>10</v>
      </c>
      <c r="G20" s="14">
        <f>E20/F20</f>
        <v/>
      </c>
      <c r="H20" s="12">
        <f>RANK(E20, E$6:E$25)</f>
        <v/>
      </c>
      <c r="I20" s="15" t="inlineStr">
        <is>
          <t>C</t>
        </is>
      </c>
      <c r="J20" s="16" t="inlineStr">
        <is>
          <t>B</t>
        </is>
      </c>
      <c r="K20" s="15" t="inlineStr">
        <is>
          <t>C</t>
        </is>
      </c>
      <c r="L20" s="16" t="inlineStr">
        <is>
          <t>A</t>
        </is>
      </c>
      <c r="M20" s="16" t="inlineStr">
        <is>
          <t>C</t>
        </is>
      </c>
      <c r="N20" s="15" t="inlineStr">
        <is>
          <t>B</t>
        </is>
      </c>
      <c r="O20" s="16" t="inlineStr">
        <is>
          <t>C</t>
        </is>
      </c>
      <c r="P20" s="15" t="inlineStr">
        <is>
          <t>A</t>
        </is>
      </c>
      <c r="Q20" s="16" t="inlineStr">
        <is>
          <t>C</t>
        </is>
      </c>
      <c r="R20" s="15" t="inlineStr">
        <is>
          <t>D</t>
        </is>
      </c>
    </row>
    <row r="21">
      <c r="A21" s="22" t="inlineStr">
        <is>
          <t>2B</t>
        </is>
      </c>
      <c r="B21" s="22" t="inlineStr">
        <is>
          <t>18</t>
        </is>
      </c>
      <c r="C21" s="22" t="inlineStr">
        <is>
          <t>None</t>
        </is>
      </c>
      <c r="D21" s="22" t="inlineStr">
        <is>
          <t>None</t>
        </is>
      </c>
      <c r="E21" s="23" t="n">
        <v>2</v>
      </c>
      <c r="F21" s="23" t="n">
        <v>10</v>
      </c>
      <c r="G21" s="24">
        <f>E21/F21</f>
        <v/>
      </c>
      <c r="H21" s="22">
        <f>RANK(E21, E$6:E$25)</f>
        <v/>
      </c>
      <c r="I21" s="26" t="inlineStr">
        <is>
          <t>A</t>
        </is>
      </c>
      <c r="J21" s="25" t="inlineStr">
        <is>
          <t>A</t>
        </is>
      </c>
      <c r="K21" s="26" t="inlineStr">
        <is>
          <t>B</t>
        </is>
      </c>
      <c r="L21" s="25" t="inlineStr">
        <is>
          <t>D</t>
        </is>
      </c>
      <c r="M21" s="26" t="inlineStr">
        <is>
          <t>D</t>
        </is>
      </c>
      <c r="N21" s="26" t="inlineStr">
        <is>
          <t>C</t>
        </is>
      </c>
      <c r="O21" s="26" t="inlineStr">
        <is>
          <t>A</t>
        </is>
      </c>
      <c r="P21" s="26" t="inlineStr">
        <is>
          <t>C</t>
        </is>
      </c>
      <c r="Q21" s="26" t="inlineStr">
        <is>
          <t>B</t>
        </is>
      </c>
      <c r="R21" s="26" t="inlineStr">
        <is>
          <t>A</t>
        </is>
      </c>
    </row>
    <row r="22">
      <c r="A22" s="12" t="inlineStr">
        <is>
          <t>2B</t>
        </is>
      </c>
      <c r="B22" s="12" t="inlineStr">
        <is>
          <t>19</t>
        </is>
      </c>
      <c r="C22" s="12" t="inlineStr">
        <is>
          <t>None</t>
        </is>
      </c>
      <c r="D22" s="12" t="inlineStr">
        <is>
          <t>None</t>
        </is>
      </c>
      <c r="E22" s="13" t="n">
        <v>6</v>
      </c>
      <c r="F22" s="13" t="n">
        <v>10</v>
      </c>
      <c r="G22" s="14">
        <f>E22/F22</f>
        <v/>
      </c>
      <c r="H22" s="12">
        <f>RANK(E22, E$6:E$25)</f>
        <v/>
      </c>
      <c r="I22" s="15" t="inlineStr">
        <is>
          <t>C</t>
        </is>
      </c>
      <c r="J22" s="15" t="inlineStr">
        <is>
          <t>A</t>
        </is>
      </c>
      <c r="K22" s="15" t="inlineStr">
        <is>
          <t>C</t>
        </is>
      </c>
      <c r="L22" s="16" t="inlineStr">
        <is>
          <t>A</t>
        </is>
      </c>
      <c r="M22" s="16" t="inlineStr">
        <is>
          <t>C</t>
        </is>
      </c>
      <c r="N22" s="15" t="inlineStr">
        <is>
          <t>B</t>
        </is>
      </c>
      <c r="O22" s="15" t="inlineStr">
        <is>
          <t>B</t>
        </is>
      </c>
      <c r="P22" s="16" t="inlineStr">
        <is>
          <t>C</t>
        </is>
      </c>
      <c r="Q22" s="15" t="inlineStr">
        <is>
          <t>D</t>
        </is>
      </c>
      <c r="R22" s="16" t="inlineStr">
        <is>
          <t>C</t>
        </is>
      </c>
    </row>
    <row r="23">
      <c r="A23" s="22" t="inlineStr">
        <is>
          <t>2B</t>
        </is>
      </c>
      <c r="B23" s="22" t="inlineStr">
        <is>
          <t>20</t>
        </is>
      </c>
      <c r="C23" s="22" t="inlineStr">
        <is>
          <t>None</t>
        </is>
      </c>
      <c r="D23" s="22" t="inlineStr">
        <is>
          <t>None</t>
        </is>
      </c>
      <c r="E23" s="23" t="n">
        <v>8</v>
      </c>
      <c r="F23" s="23" t="n">
        <v>10</v>
      </c>
      <c r="G23" s="24">
        <f>E23/F23</f>
        <v/>
      </c>
      <c r="H23" s="22">
        <f>RANK(E23, E$6:E$25)</f>
        <v/>
      </c>
      <c r="I23" s="25" t="inlineStr">
        <is>
          <t>C</t>
        </is>
      </c>
      <c r="J23" s="25" t="inlineStr">
        <is>
          <t>A</t>
        </is>
      </c>
      <c r="K23" s="25" t="inlineStr">
        <is>
          <t>C</t>
        </is>
      </c>
      <c r="L23" s="26" t="inlineStr">
        <is>
          <t>C</t>
        </is>
      </c>
      <c r="M23" s="26" t="inlineStr">
        <is>
          <t>A</t>
        </is>
      </c>
      <c r="N23" s="25" t="inlineStr">
        <is>
          <t>B</t>
        </is>
      </c>
      <c r="O23" s="25" t="inlineStr">
        <is>
          <t>B</t>
        </is>
      </c>
      <c r="P23" s="25" t="inlineStr">
        <is>
          <t>A</t>
        </is>
      </c>
      <c r="Q23" s="25" t="inlineStr">
        <is>
          <t>D</t>
        </is>
      </c>
      <c r="R23" s="25" t="inlineStr">
        <is>
          <t>D</t>
        </is>
      </c>
    </row>
    <row r="24">
      <c r="A24" s="12" t="inlineStr">
        <is>
          <t>2B</t>
        </is>
      </c>
      <c r="B24" s="12" t="inlineStr">
        <is>
          <t>21</t>
        </is>
      </c>
      <c r="C24" s="12" t="inlineStr">
        <is>
          <t>None</t>
        </is>
      </c>
      <c r="D24" s="12" t="inlineStr">
        <is>
          <t>None</t>
        </is>
      </c>
      <c r="E24" s="13" t="n">
        <v>5</v>
      </c>
      <c r="F24" s="13" t="n">
        <v>10</v>
      </c>
      <c r="G24" s="14">
        <f>E24/F24</f>
        <v/>
      </c>
      <c r="H24" s="12">
        <f>RANK(E24, E$6:E$25)</f>
        <v/>
      </c>
      <c r="I24" s="15" t="inlineStr">
        <is>
          <t>C</t>
        </is>
      </c>
      <c r="J24" s="15" t="inlineStr">
        <is>
          <t>A</t>
        </is>
      </c>
      <c r="K24" s="16" t="inlineStr">
        <is>
          <t>B</t>
        </is>
      </c>
      <c r="L24" s="16" t="inlineStr">
        <is>
          <t>B</t>
        </is>
      </c>
      <c r="M24" s="16" t="inlineStr">
        <is>
          <t>C</t>
        </is>
      </c>
      <c r="N24" s="15" t="inlineStr">
        <is>
          <t>B</t>
        </is>
      </c>
      <c r="O24" s="16" t="inlineStr">
        <is>
          <t>C</t>
        </is>
      </c>
      <c r="P24" s="15" t="inlineStr">
        <is>
          <t>A</t>
        </is>
      </c>
      <c r="Q24" s="27" t="inlineStr">
        <is>
          <t>BLANK</t>
        </is>
      </c>
      <c r="R24" s="15" t="inlineStr">
        <is>
          <t>D</t>
        </is>
      </c>
    </row>
    <row r="25">
      <c r="A25" s="22" t="inlineStr">
        <is>
          <t>2B</t>
        </is>
      </c>
      <c r="B25" s="22" t="inlineStr">
        <is>
          <t>22</t>
        </is>
      </c>
      <c r="C25" s="22" t="inlineStr">
        <is>
          <t>None</t>
        </is>
      </c>
      <c r="D25" s="22" t="inlineStr">
        <is>
          <t>None</t>
        </is>
      </c>
      <c r="E25" s="23" t="n">
        <v>5</v>
      </c>
      <c r="F25" s="23" t="n">
        <v>10</v>
      </c>
      <c r="G25" s="24">
        <f>E25/F25</f>
        <v/>
      </c>
      <c r="H25" s="22">
        <f>RANK(E25, E$6:E$25)</f>
        <v/>
      </c>
      <c r="I25" s="26" t="inlineStr">
        <is>
          <t>D</t>
        </is>
      </c>
      <c r="J25" s="25" t="inlineStr">
        <is>
          <t>A</t>
        </is>
      </c>
      <c r="K25" s="25" t="inlineStr">
        <is>
          <t>C</t>
        </is>
      </c>
      <c r="L25" s="25" t="inlineStr">
        <is>
          <t>D</t>
        </is>
      </c>
      <c r="M25" s="26" t="inlineStr">
        <is>
          <t>C</t>
        </is>
      </c>
      <c r="N25" s="26" t="inlineStr">
        <is>
          <t>C</t>
        </is>
      </c>
      <c r="O25" s="25" t="inlineStr">
        <is>
          <t>B</t>
        </is>
      </c>
      <c r="P25" s="26" t="inlineStr">
        <is>
          <t>C</t>
        </is>
      </c>
      <c r="Q25" s="26" t="inlineStr">
        <is>
          <t>C</t>
        </is>
      </c>
      <c r="R25" s="25" t="inlineStr">
        <is>
          <t>D</t>
        </is>
      </c>
    </row>
    <row r="26">
      <c r="A26" s="17" t="inlineStr">
        <is>
          <t>Class Average</t>
        </is>
      </c>
      <c r="B26" s="18" t="n"/>
      <c r="C26" s="18" t="n"/>
      <c r="D26" s="18" t="n"/>
      <c r="E26" s="19">
        <f>AVERAGE(E6:E25)</f>
        <v/>
      </c>
      <c r="F26" s="18" t="inlineStr"/>
      <c r="G26" s="20">
        <f>AVERAGE(G6:G25)</f>
        <v/>
      </c>
      <c r="H26" s="21">
        <f>COUNTIF(G6:G25,"&gt;=50%")/COUNT(G6:G25)</f>
        <v/>
      </c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</row>
  </sheetData>
  <mergeCells count="1">
    <mergeCell ref="A26:D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3"/>
  <sheetViews>
    <sheetView showGridLines="1" workbookViewId="0">
      <pane xSplit="8" ySplit="5" topLeftCell="I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5" customWidth="1" min="2" max="2"/>
    <col width="14" customWidth="1" min="3" max="3"/>
    <col width="15" customWidth="1" min="4" max="4"/>
    <col width="19" customWidth="1" min="5" max="5"/>
    <col width="11" customWidth="1" min="6" max="6"/>
    <col width="19" customWidth="1" min="7" max="7"/>
    <col width="4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Student Performance Roster - Class 2C</t>
        </is>
      </c>
    </row>
    <row r="2"/>
    <row r="3"/>
    <row r="4">
      <c r="A4" s="10" t="inlineStr">
        <is>
          <t>Class</t>
        </is>
      </c>
      <c r="B4" s="10" t="inlineStr">
        <is>
          <t>Class Number</t>
        </is>
      </c>
      <c r="C4" s="10" t="inlineStr">
        <is>
          <t>Reg. Number</t>
        </is>
      </c>
      <c r="D4" s="10" t="inlineStr">
        <is>
          <t>Subject Code</t>
        </is>
      </c>
      <c r="E4" s="10" t="inlineStr">
        <is>
          <t>Score</t>
        </is>
      </c>
      <c r="F4" s="10" t="inlineStr">
        <is>
          <t>Total</t>
        </is>
      </c>
      <c r="G4" s="10" t="inlineStr">
        <is>
          <t>Percentage</t>
        </is>
      </c>
      <c r="H4" s="10" t="inlineStr">
        <is>
          <t>Class Rank</t>
        </is>
      </c>
      <c r="I4" s="10" t="inlineStr">
        <is>
          <t>Q1</t>
        </is>
      </c>
      <c r="J4" s="10" t="inlineStr">
        <is>
          <t>Q2</t>
        </is>
      </c>
      <c r="K4" s="10" t="inlineStr">
        <is>
          <t>Q3</t>
        </is>
      </c>
      <c r="L4" s="10" t="inlineStr">
        <is>
          <t>Q4</t>
        </is>
      </c>
      <c r="M4" s="10" t="inlineStr">
        <is>
          <t>Q5</t>
        </is>
      </c>
      <c r="N4" s="10" t="inlineStr">
        <is>
          <t>Q6</t>
        </is>
      </c>
      <c r="O4" s="10" t="inlineStr">
        <is>
          <t>Q7</t>
        </is>
      </c>
      <c r="P4" s="10" t="inlineStr">
        <is>
          <t>Q8</t>
        </is>
      </c>
      <c r="Q4" s="10" t="inlineStr">
        <is>
          <t>Q9</t>
        </is>
      </c>
      <c r="R4" s="10" t="inlineStr">
        <is>
          <t>Q10</t>
        </is>
      </c>
    </row>
    <row r="5">
      <c r="A5" s="11" t="inlineStr">
        <is>
          <t>KEY</t>
        </is>
      </c>
      <c r="B5" s="11" t="inlineStr">
        <is>
          <t>-</t>
        </is>
      </c>
      <c r="C5" s="11" t="inlineStr">
        <is>
          <t>-</t>
        </is>
      </c>
      <c r="D5" s="11" t="inlineStr">
        <is>
          <t>-</t>
        </is>
      </c>
      <c r="E5" s="11" t="inlineStr">
        <is>
          <t>-</t>
        </is>
      </c>
      <c r="F5" s="11" t="inlineStr">
        <is>
          <t>-</t>
        </is>
      </c>
      <c r="G5" s="11" t="inlineStr">
        <is>
          <t>-</t>
        </is>
      </c>
      <c r="H5" s="11" t="inlineStr">
        <is>
          <t>-</t>
        </is>
      </c>
      <c r="I5" s="11" t="inlineStr">
        <is>
          <t>C</t>
        </is>
      </c>
      <c r="J5" s="11" t="inlineStr">
        <is>
          <t>A</t>
        </is>
      </c>
      <c r="K5" s="11" t="inlineStr">
        <is>
          <t>C</t>
        </is>
      </c>
      <c r="L5" s="11" t="inlineStr">
        <is>
          <t>D</t>
        </is>
      </c>
      <c r="M5" s="11" t="inlineStr">
        <is>
          <t>B</t>
        </is>
      </c>
      <c r="N5" s="11" t="inlineStr">
        <is>
          <t>B</t>
        </is>
      </c>
      <c r="O5" s="11" t="inlineStr">
        <is>
          <t>B</t>
        </is>
      </c>
      <c r="P5" s="11" t="inlineStr">
        <is>
          <t>A</t>
        </is>
      </c>
      <c r="Q5" s="11" t="inlineStr">
        <is>
          <t>D</t>
        </is>
      </c>
      <c r="R5" s="11" t="inlineStr">
        <is>
          <t>D</t>
        </is>
      </c>
    </row>
    <row r="6">
      <c r="A6" s="12" t="inlineStr">
        <is>
          <t>2C</t>
        </is>
      </c>
      <c r="B6" s="12" t="inlineStr">
        <is>
          <t>0</t>
        </is>
      </c>
      <c r="C6" s="12" t="inlineStr">
        <is>
          <t>None</t>
        </is>
      </c>
      <c r="D6" s="12" t="inlineStr">
        <is>
          <t>None</t>
        </is>
      </c>
      <c r="E6" s="13" t="n">
        <v>1</v>
      </c>
      <c r="F6" s="13" t="n">
        <v>10</v>
      </c>
      <c r="G6" s="14">
        <f>E6/F6</f>
        <v/>
      </c>
      <c r="H6" s="12">
        <f>RANK(E6, E$6:E$22)</f>
        <v/>
      </c>
      <c r="I6" s="16" t="inlineStr">
        <is>
          <t>B</t>
        </is>
      </c>
      <c r="J6" s="16" t="inlineStr">
        <is>
          <t>C</t>
        </is>
      </c>
      <c r="K6" s="16" t="inlineStr">
        <is>
          <t>B</t>
        </is>
      </c>
      <c r="L6" s="16" t="inlineStr">
        <is>
          <t>A</t>
        </is>
      </c>
      <c r="M6" s="16" t="inlineStr">
        <is>
          <t>A</t>
        </is>
      </c>
      <c r="N6" s="16" t="inlineStr">
        <is>
          <t>D</t>
        </is>
      </c>
      <c r="O6" s="16" t="inlineStr">
        <is>
          <t>D</t>
        </is>
      </c>
      <c r="P6" s="15" t="inlineStr">
        <is>
          <t>A</t>
        </is>
      </c>
      <c r="Q6" s="16" t="inlineStr">
        <is>
          <t>C</t>
        </is>
      </c>
      <c r="R6" s="16" t="inlineStr">
        <is>
          <t>A</t>
        </is>
      </c>
    </row>
    <row r="7">
      <c r="A7" s="22" t="inlineStr">
        <is>
          <t>2C</t>
        </is>
      </c>
      <c r="B7" s="22" t="inlineStr">
        <is>
          <t>005</t>
        </is>
      </c>
      <c r="C7" s="22" t="inlineStr">
        <is>
          <t>None</t>
        </is>
      </c>
      <c r="D7" s="22" t="inlineStr">
        <is>
          <t>None</t>
        </is>
      </c>
      <c r="E7" s="23" t="n">
        <v>3</v>
      </c>
      <c r="F7" s="23" t="n">
        <v>10</v>
      </c>
      <c r="G7" s="24">
        <f>E7/F7</f>
        <v/>
      </c>
      <c r="H7" s="22">
        <f>RANK(E7, E$6:E$22)</f>
        <v/>
      </c>
      <c r="I7" s="26" t="inlineStr">
        <is>
          <t>A</t>
        </is>
      </c>
      <c r="J7" s="26" t="inlineStr">
        <is>
          <t>B</t>
        </is>
      </c>
      <c r="K7" s="27" t="inlineStr">
        <is>
          <t>BLANK</t>
        </is>
      </c>
      <c r="L7" s="26" t="inlineStr">
        <is>
          <t>A</t>
        </is>
      </c>
      <c r="M7" s="26" t="inlineStr">
        <is>
          <t>C</t>
        </is>
      </c>
      <c r="N7" s="26" t="inlineStr">
        <is>
          <t>C</t>
        </is>
      </c>
      <c r="O7" s="25" t="inlineStr">
        <is>
          <t>B</t>
        </is>
      </c>
      <c r="P7" s="25" t="inlineStr">
        <is>
          <t>A</t>
        </is>
      </c>
      <c r="Q7" s="26" t="inlineStr">
        <is>
          <t>C</t>
        </is>
      </c>
      <c r="R7" s="25" t="inlineStr">
        <is>
          <t>D</t>
        </is>
      </c>
    </row>
    <row r="8">
      <c r="A8" s="12" t="inlineStr">
        <is>
          <t>2C</t>
        </is>
      </c>
      <c r="B8" s="12" t="inlineStr">
        <is>
          <t>02</t>
        </is>
      </c>
      <c r="C8" s="12" t="inlineStr">
        <is>
          <t>None</t>
        </is>
      </c>
      <c r="D8" s="12" t="inlineStr">
        <is>
          <t>None</t>
        </is>
      </c>
      <c r="E8" s="13" t="n">
        <v>6</v>
      </c>
      <c r="F8" s="13" t="n">
        <v>10</v>
      </c>
      <c r="G8" s="14">
        <f>E8/F8</f>
        <v/>
      </c>
      <c r="H8" s="12">
        <f>RANK(E8, E$6:E$22)</f>
        <v/>
      </c>
      <c r="I8" s="15" t="inlineStr">
        <is>
          <t>C</t>
        </is>
      </c>
      <c r="J8" s="15" t="inlineStr">
        <is>
          <t>A</t>
        </is>
      </c>
      <c r="K8" s="16" t="inlineStr">
        <is>
          <t>B</t>
        </is>
      </c>
      <c r="L8" s="15" t="inlineStr">
        <is>
          <t>D</t>
        </is>
      </c>
      <c r="M8" s="15" t="inlineStr">
        <is>
          <t>B</t>
        </is>
      </c>
      <c r="N8" s="16" t="inlineStr">
        <is>
          <t>C</t>
        </is>
      </c>
      <c r="O8" s="15" t="inlineStr">
        <is>
          <t>B</t>
        </is>
      </c>
      <c r="P8" s="16" t="inlineStr">
        <is>
          <t>C</t>
        </is>
      </c>
      <c r="Q8" s="15" t="inlineStr">
        <is>
          <t>D</t>
        </is>
      </c>
      <c r="R8" s="16" t="inlineStr">
        <is>
          <t>A</t>
        </is>
      </c>
    </row>
    <row r="9">
      <c r="A9" s="22" t="inlineStr">
        <is>
          <t>2C</t>
        </is>
      </c>
      <c r="B9" s="22" t="inlineStr">
        <is>
          <t>03</t>
        </is>
      </c>
      <c r="C9" s="22" t="inlineStr">
        <is>
          <t>None</t>
        </is>
      </c>
      <c r="D9" s="22" t="inlineStr">
        <is>
          <t>None</t>
        </is>
      </c>
      <c r="E9" s="23" t="n">
        <v>3</v>
      </c>
      <c r="F9" s="23" t="n">
        <v>10</v>
      </c>
      <c r="G9" s="24">
        <f>E9/F9</f>
        <v/>
      </c>
      <c r="H9" s="22">
        <f>RANK(E9, E$6:E$22)</f>
        <v/>
      </c>
      <c r="I9" s="25" t="inlineStr">
        <is>
          <t>C</t>
        </is>
      </c>
      <c r="J9" s="26" t="inlineStr">
        <is>
          <t>D</t>
        </is>
      </c>
      <c r="K9" s="26" t="inlineStr">
        <is>
          <t>B</t>
        </is>
      </c>
      <c r="L9" s="26" t="inlineStr">
        <is>
          <t>B</t>
        </is>
      </c>
      <c r="M9" s="26" t="inlineStr">
        <is>
          <t>D</t>
        </is>
      </c>
      <c r="N9" s="25" t="inlineStr">
        <is>
          <t>B</t>
        </is>
      </c>
      <c r="O9" s="26" t="inlineStr">
        <is>
          <t>A</t>
        </is>
      </c>
      <c r="P9" s="26" t="inlineStr">
        <is>
          <t>C</t>
        </is>
      </c>
      <c r="Q9" s="25" t="inlineStr">
        <is>
          <t>D</t>
        </is>
      </c>
      <c r="R9" s="27" t="inlineStr">
        <is>
          <t>BLANK</t>
        </is>
      </c>
    </row>
    <row r="10">
      <c r="A10" s="12" t="inlineStr">
        <is>
          <t>2C</t>
        </is>
      </c>
      <c r="B10" s="12" t="inlineStr">
        <is>
          <t>04</t>
        </is>
      </c>
      <c r="C10" s="12" t="inlineStr">
        <is>
          <t>None</t>
        </is>
      </c>
      <c r="D10" s="12" t="inlineStr">
        <is>
          <t>None</t>
        </is>
      </c>
      <c r="E10" s="13" t="n">
        <v>6</v>
      </c>
      <c r="F10" s="13" t="n">
        <v>10</v>
      </c>
      <c r="G10" s="14">
        <f>E10/F10</f>
        <v/>
      </c>
      <c r="H10" s="12">
        <f>RANK(E10, E$6:E$22)</f>
        <v/>
      </c>
      <c r="I10" s="16" t="inlineStr">
        <is>
          <t>A</t>
        </is>
      </c>
      <c r="J10" s="15" t="inlineStr">
        <is>
          <t>A</t>
        </is>
      </c>
      <c r="K10" s="15" t="inlineStr">
        <is>
          <t>C</t>
        </is>
      </c>
      <c r="L10" s="15" t="inlineStr">
        <is>
          <t>D</t>
        </is>
      </c>
      <c r="M10" s="16" t="inlineStr">
        <is>
          <t>C</t>
        </is>
      </c>
      <c r="N10" s="16" t="inlineStr">
        <is>
          <t>C</t>
        </is>
      </c>
      <c r="O10" s="15" t="inlineStr">
        <is>
          <t>B</t>
        </is>
      </c>
      <c r="P10" s="15" t="inlineStr">
        <is>
          <t>A</t>
        </is>
      </c>
      <c r="Q10" s="16" t="inlineStr">
        <is>
          <t>C</t>
        </is>
      </c>
      <c r="R10" s="15" t="inlineStr">
        <is>
          <t>D</t>
        </is>
      </c>
    </row>
    <row r="11">
      <c r="A11" s="22" t="inlineStr">
        <is>
          <t>2C</t>
        </is>
      </c>
      <c r="B11" s="22" t="inlineStr">
        <is>
          <t>06</t>
        </is>
      </c>
      <c r="C11" s="22" t="inlineStr">
        <is>
          <t>None</t>
        </is>
      </c>
      <c r="D11" s="22" t="inlineStr">
        <is>
          <t>None</t>
        </is>
      </c>
      <c r="E11" s="23" t="n">
        <v>3</v>
      </c>
      <c r="F11" s="23" t="n">
        <v>10</v>
      </c>
      <c r="G11" s="24">
        <f>E11/F11</f>
        <v/>
      </c>
      <c r="H11" s="22">
        <f>RANK(E11, E$6:E$22)</f>
        <v/>
      </c>
      <c r="I11" s="26" t="inlineStr">
        <is>
          <t>A</t>
        </is>
      </c>
      <c r="J11" s="27" t="inlineStr">
        <is>
          <t>BLANK</t>
        </is>
      </c>
      <c r="K11" s="26" t="inlineStr">
        <is>
          <t>A</t>
        </is>
      </c>
      <c r="L11" s="26" t="inlineStr">
        <is>
          <t>A</t>
        </is>
      </c>
      <c r="M11" s="26" t="inlineStr">
        <is>
          <t>D</t>
        </is>
      </c>
      <c r="N11" s="25" t="inlineStr">
        <is>
          <t>B</t>
        </is>
      </c>
      <c r="O11" s="26" t="inlineStr">
        <is>
          <t>C</t>
        </is>
      </c>
      <c r="P11" s="25" t="inlineStr">
        <is>
          <t>A</t>
        </is>
      </c>
      <c r="Q11" s="25" t="inlineStr">
        <is>
          <t>D</t>
        </is>
      </c>
      <c r="R11" s="26" t="inlineStr">
        <is>
          <t>A</t>
        </is>
      </c>
    </row>
    <row r="12">
      <c r="A12" s="12" t="inlineStr">
        <is>
          <t>2C</t>
        </is>
      </c>
      <c r="B12" s="12" t="inlineStr">
        <is>
          <t>07</t>
        </is>
      </c>
      <c r="C12" s="12" t="inlineStr">
        <is>
          <t>None</t>
        </is>
      </c>
      <c r="D12" s="12" t="inlineStr">
        <is>
          <t>None</t>
        </is>
      </c>
      <c r="E12" s="13" t="n">
        <v>4</v>
      </c>
      <c r="F12" s="13" t="n">
        <v>10</v>
      </c>
      <c r="G12" s="14">
        <f>E12/F12</f>
        <v/>
      </c>
      <c r="H12" s="12">
        <f>RANK(E12, E$6:E$22)</f>
        <v/>
      </c>
      <c r="I12" s="15" t="inlineStr">
        <is>
          <t>C</t>
        </is>
      </c>
      <c r="J12" s="15" t="inlineStr">
        <is>
          <t>A</t>
        </is>
      </c>
      <c r="K12" s="15" t="inlineStr">
        <is>
          <t>C</t>
        </is>
      </c>
      <c r="L12" s="16" t="inlineStr">
        <is>
          <t>C</t>
        </is>
      </c>
      <c r="M12" s="15" t="inlineStr">
        <is>
          <t>B</t>
        </is>
      </c>
      <c r="N12" s="16" t="inlineStr">
        <is>
          <t>D</t>
        </is>
      </c>
      <c r="O12" s="28" t="inlineStr">
        <is>
          <t>AMBIG</t>
        </is>
      </c>
      <c r="P12" s="16" t="inlineStr">
        <is>
          <t>C</t>
        </is>
      </c>
      <c r="Q12" s="16" t="inlineStr">
        <is>
          <t>C</t>
        </is>
      </c>
      <c r="R12" s="16" t="inlineStr">
        <is>
          <t>B</t>
        </is>
      </c>
    </row>
    <row r="13">
      <c r="A13" s="22" t="inlineStr">
        <is>
          <t>2C</t>
        </is>
      </c>
      <c r="B13" s="22" t="inlineStr">
        <is>
          <t>08</t>
        </is>
      </c>
      <c r="C13" s="22" t="inlineStr">
        <is>
          <t>None</t>
        </is>
      </c>
      <c r="D13" s="22" t="inlineStr">
        <is>
          <t>None</t>
        </is>
      </c>
      <c r="E13" s="23" t="n">
        <v>1</v>
      </c>
      <c r="F13" s="23" t="n">
        <v>10</v>
      </c>
      <c r="G13" s="24">
        <f>E13/F13</f>
        <v/>
      </c>
      <c r="H13" s="22">
        <f>RANK(E13, E$6:E$22)</f>
        <v/>
      </c>
      <c r="I13" s="26" t="inlineStr">
        <is>
          <t>A</t>
        </is>
      </c>
      <c r="J13" s="25" t="inlineStr">
        <is>
          <t>A</t>
        </is>
      </c>
      <c r="K13" s="26" t="inlineStr">
        <is>
          <t>B</t>
        </is>
      </c>
      <c r="L13" s="26" t="inlineStr">
        <is>
          <t>C</t>
        </is>
      </c>
      <c r="M13" s="26" t="inlineStr">
        <is>
          <t>D</t>
        </is>
      </c>
      <c r="N13" s="26" t="inlineStr">
        <is>
          <t>A</t>
        </is>
      </c>
      <c r="O13" s="26" t="inlineStr">
        <is>
          <t>C</t>
        </is>
      </c>
      <c r="P13" s="26" t="inlineStr">
        <is>
          <t>D</t>
        </is>
      </c>
      <c r="Q13" s="26" t="inlineStr">
        <is>
          <t>B</t>
        </is>
      </c>
      <c r="R13" s="26" t="inlineStr">
        <is>
          <t>C</t>
        </is>
      </c>
    </row>
    <row r="14">
      <c r="A14" s="12" t="inlineStr">
        <is>
          <t>2C</t>
        </is>
      </c>
      <c r="B14" s="12" t="inlineStr">
        <is>
          <t>10</t>
        </is>
      </c>
      <c r="C14" s="12" t="inlineStr">
        <is>
          <t>None</t>
        </is>
      </c>
      <c r="D14" s="12" t="inlineStr">
        <is>
          <t>None</t>
        </is>
      </c>
      <c r="E14" s="13" t="n">
        <v>3</v>
      </c>
      <c r="F14" s="13" t="n">
        <v>10</v>
      </c>
      <c r="G14" s="14">
        <f>E14/F14</f>
        <v/>
      </c>
      <c r="H14" s="12">
        <f>RANK(E14, E$6:E$22)</f>
        <v/>
      </c>
      <c r="I14" s="15" t="inlineStr">
        <is>
          <t>C</t>
        </is>
      </c>
      <c r="J14" s="16" t="inlineStr">
        <is>
          <t>B</t>
        </is>
      </c>
      <c r="K14" s="15" t="inlineStr">
        <is>
          <t>C</t>
        </is>
      </c>
      <c r="L14" s="16" t="inlineStr">
        <is>
          <t>A</t>
        </is>
      </c>
      <c r="M14" s="16" t="inlineStr">
        <is>
          <t>D</t>
        </is>
      </c>
      <c r="N14" s="15" t="inlineStr">
        <is>
          <t>B</t>
        </is>
      </c>
      <c r="O14" s="27" t="inlineStr">
        <is>
          <t>BLANK</t>
        </is>
      </c>
      <c r="P14" s="27" t="inlineStr">
        <is>
          <t>BLANK</t>
        </is>
      </c>
      <c r="Q14" s="27" t="inlineStr">
        <is>
          <t>BLANK</t>
        </is>
      </c>
      <c r="R14" s="27" t="inlineStr">
        <is>
          <t>BLANK</t>
        </is>
      </c>
    </row>
    <row r="15">
      <c r="A15" s="22" t="inlineStr">
        <is>
          <t>2C</t>
        </is>
      </c>
      <c r="B15" s="22" t="inlineStr">
        <is>
          <t>11</t>
        </is>
      </c>
      <c r="C15" s="22" t="inlineStr">
        <is>
          <t>None</t>
        </is>
      </c>
      <c r="D15" s="22" t="inlineStr">
        <is>
          <t>None</t>
        </is>
      </c>
      <c r="E15" s="23" t="n">
        <v>4</v>
      </c>
      <c r="F15" s="23" t="n">
        <v>10</v>
      </c>
      <c r="G15" s="24">
        <f>E15/F15</f>
        <v/>
      </c>
      <c r="H15" s="22">
        <f>RANK(E15, E$6:E$22)</f>
        <v/>
      </c>
      <c r="I15" s="26" t="inlineStr">
        <is>
          <t>A</t>
        </is>
      </c>
      <c r="J15" s="25" t="inlineStr">
        <is>
          <t>A</t>
        </is>
      </c>
      <c r="K15" s="26" t="inlineStr">
        <is>
          <t>B</t>
        </is>
      </c>
      <c r="L15" s="25" t="inlineStr">
        <is>
          <t>D</t>
        </is>
      </c>
      <c r="M15" s="26" t="inlineStr">
        <is>
          <t>A</t>
        </is>
      </c>
      <c r="N15" s="25" t="inlineStr">
        <is>
          <t>B</t>
        </is>
      </c>
      <c r="O15" s="26" t="inlineStr">
        <is>
          <t>D</t>
        </is>
      </c>
      <c r="P15" s="25" t="inlineStr">
        <is>
          <t>A</t>
        </is>
      </c>
      <c r="Q15" s="26" t="inlineStr">
        <is>
          <t>A</t>
        </is>
      </c>
      <c r="R15" s="26" t="inlineStr">
        <is>
          <t>B</t>
        </is>
      </c>
    </row>
    <row r="16">
      <c r="A16" s="12" t="inlineStr">
        <is>
          <t>2C</t>
        </is>
      </c>
      <c r="B16" s="12" t="inlineStr">
        <is>
          <t>12</t>
        </is>
      </c>
      <c r="C16" s="12" t="inlineStr">
        <is>
          <t>None</t>
        </is>
      </c>
      <c r="D16" s="12" t="inlineStr">
        <is>
          <t>None</t>
        </is>
      </c>
      <c r="E16" s="13" t="n">
        <v>2</v>
      </c>
      <c r="F16" s="13" t="n">
        <v>10</v>
      </c>
      <c r="G16" s="14">
        <f>E16/F16</f>
        <v/>
      </c>
      <c r="H16" s="12">
        <f>RANK(E16, E$6:E$22)</f>
        <v/>
      </c>
      <c r="I16" s="16" t="inlineStr">
        <is>
          <t>D</t>
        </is>
      </c>
      <c r="J16" s="15" t="inlineStr">
        <is>
          <t>A</t>
        </is>
      </c>
      <c r="K16" s="15" t="inlineStr">
        <is>
          <t>C</t>
        </is>
      </c>
      <c r="L16" s="16" t="inlineStr">
        <is>
          <t>B</t>
        </is>
      </c>
      <c r="M16" s="16" t="inlineStr">
        <is>
          <t>C</t>
        </is>
      </c>
      <c r="N16" s="16" t="inlineStr">
        <is>
          <t>C</t>
        </is>
      </c>
      <c r="O16" s="16" t="inlineStr">
        <is>
          <t>A</t>
        </is>
      </c>
      <c r="P16" s="16" t="inlineStr">
        <is>
          <t>C</t>
        </is>
      </c>
      <c r="Q16" s="16" t="inlineStr">
        <is>
          <t>B</t>
        </is>
      </c>
      <c r="R16" s="16" t="inlineStr">
        <is>
          <t>C</t>
        </is>
      </c>
    </row>
    <row r="17">
      <c r="A17" s="22" t="inlineStr">
        <is>
          <t>2C</t>
        </is>
      </c>
      <c r="B17" s="22" t="inlineStr">
        <is>
          <t>13</t>
        </is>
      </c>
      <c r="C17" s="22" t="inlineStr">
        <is>
          <t>None</t>
        </is>
      </c>
      <c r="D17" s="22" t="inlineStr">
        <is>
          <t>None</t>
        </is>
      </c>
      <c r="E17" s="23" t="n">
        <v>6</v>
      </c>
      <c r="F17" s="23" t="n">
        <v>10</v>
      </c>
      <c r="G17" s="24">
        <f>E17/F17</f>
        <v/>
      </c>
      <c r="H17" s="22">
        <f>RANK(E17, E$6:E$22)</f>
        <v/>
      </c>
      <c r="I17" s="25" t="inlineStr">
        <is>
          <t>C</t>
        </is>
      </c>
      <c r="J17" s="25" t="inlineStr">
        <is>
          <t>A</t>
        </is>
      </c>
      <c r="K17" s="25" t="inlineStr">
        <is>
          <t>C</t>
        </is>
      </c>
      <c r="L17" s="25" t="inlineStr">
        <is>
          <t>D</t>
        </is>
      </c>
      <c r="M17" s="26" t="inlineStr">
        <is>
          <t>D</t>
        </is>
      </c>
      <c r="N17" s="25" t="inlineStr">
        <is>
          <t>B</t>
        </is>
      </c>
      <c r="O17" s="25" t="inlineStr">
        <is>
          <t>B</t>
        </is>
      </c>
      <c r="P17" s="26" t="inlineStr">
        <is>
          <t>C</t>
        </is>
      </c>
      <c r="Q17" s="26" t="inlineStr">
        <is>
          <t>C</t>
        </is>
      </c>
      <c r="R17" s="26" t="inlineStr">
        <is>
          <t>A</t>
        </is>
      </c>
    </row>
    <row r="18">
      <c r="A18" s="12" t="inlineStr">
        <is>
          <t>2C</t>
        </is>
      </c>
      <c r="B18" s="12" t="inlineStr">
        <is>
          <t>16</t>
        </is>
      </c>
      <c r="C18" s="12" t="inlineStr">
        <is>
          <t>None</t>
        </is>
      </c>
      <c r="D18" s="12" t="inlineStr">
        <is>
          <t>None</t>
        </is>
      </c>
      <c r="E18" s="13" t="n">
        <v>8</v>
      </c>
      <c r="F18" s="13" t="n">
        <v>10</v>
      </c>
      <c r="G18" s="14">
        <f>E18/F18</f>
        <v/>
      </c>
      <c r="H18" s="12">
        <f>RANK(E18, E$6:E$22)</f>
        <v/>
      </c>
      <c r="I18" s="16" t="inlineStr">
        <is>
          <t>A</t>
        </is>
      </c>
      <c r="J18" s="15" t="inlineStr">
        <is>
          <t>A</t>
        </is>
      </c>
      <c r="K18" s="15" t="inlineStr">
        <is>
          <t>C</t>
        </is>
      </c>
      <c r="L18" s="16" t="inlineStr">
        <is>
          <t>C</t>
        </is>
      </c>
      <c r="M18" s="15" t="inlineStr">
        <is>
          <t>B</t>
        </is>
      </c>
      <c r="N18" s="15" t="inlineStr">
        <is>
          <t>B</t>
        </is>
      </c>
      <c r="O18" s="15" t="inlineStr">
        <is>
          <t>B</t>
        </is>
      </c>
      <c r="P18" s="15" t="inlineStr">
        <is>
          <t>A</t>
        </is>
      </c>
      <c r="Q18" s="15" t="inlineStr">
        <is>
          <t>D</t>
        </is>
      </c>
      <c r="R18" s="15" t="inlineStr">
        <is>
          <t>D</t>
        </is>
      </c>
    </row>
    <row r="19">
      <c r="A19" s="22" t="inlineStr">
        <is>
          <t>2C</t>
        </is>
      </c>
      <c r="B19" s="22" t="inlineStr">
        <is>
          <t>17</t>
        </is>
      </c>
      <c r="C19" s="22" t="inlineStr">
        <is>
          <t>None</t>
        </is>
      </c>
      <c r="D19" s="22" t="inlineStr">
        <is>
          <t>None</t>
        </is>
      </c>
      <c r="E19" s="23" t="n">
        <v>9</v>
      </c>
      <c r="F19" s="23" t="n">
        <v>10</v>
      </c>
      <c r="G19" s="24">
        <f>E19/F19</f>
        <v/>
      </c>
      <c r="H19" s="22">
        <f>RANK(E19, E$6:E$22)</f>
        <v/>
      </c>
      <c r="I19" s="25" t="inlineStr">
        <is>
          <t>C</t>
        </is>
      </c>
      <c r="J19" s="25" t="inlineStr">
        <is>
          <t>A</t>
        </is>
      </c>
      <c r="K19" s="25" t="inlineStr">
        <is>
          <t>C</t>
        </is>
      </c>
      <c r="L19" s="25" t="inlineStr">
        <is>
          <t>D</t>
        </is>
      </c>
      <c r="M19" s="26" t="inlineStr">
        <is>
          <t>C</t>
        </is>
      </c>
      <c r="N19" s="25" t="inlineStr">
        <is>
          <t>B</t>
        </is>
      </c>
      <c r="O19" s="25" t="inlineStr">
        <is>
          <t>B</t>
        </is>
      </c>
      <c r="P19" s="25" t="inlineStr">
        <is>
          <t>A</t>
        </is>
      </c>
      <c r="Q19" s="25" t="inlineStr">
        <is>
          <t>D</t>
        </is>
      </c>
      <c r="R19" s="25" t="inlineStr">
        <is>
          <t>D</t>
        </is>
      </c>
    </row>
    <row r="20">
      <c r="A20" s="12" t="inlineStr">
        <is>
          <t>2C</t>
        </is>
      </c>
      <c r="B20" s="12" t="inlineStr">
        <is>
          <t>18</t>
        </is>
      </c>
      <c r="C20" s="12" t="inlineStr">
        <is>
          <t>None</t>
        </is>
      </c>
      <c r="D20" s="12" t="inlineStr">
        <is>
          <t>None</t>
        </is>
      </c>
      <c r="E20" s="13" t="n">
        <v>1</v>
      </c>
      <c r="F20" s="13" t="n">
        <v>10</v>
      </c>
      <c r="G20" s="14">
        <f>E20/F20</f>
        <v/>
      </c>
      <c r="H20" s="12">
        <f>RANK(E20, E$6:E$22)</f>
        <v/>
      </c>
      <c r="I20" s="16" t="inlineStr">
        <is>
          <t>D</t>
        </is>
      </c>
      <c r="J20" s="15" t="inlineStr">
        <is>
          <t>A</t>
        </is>
      </c>
      <c r="K20" s="16" t="inlineStr">
        <is>
          <t>A</t>
        </is>
      </c>
      <c r="L20" s="16" t="inlineStr">
        <is>
          <t>B</t>
        </is>
      </c>
      <c r="M20" s="16" t="inlineStr">
        <is>
          <t>C</t>
        </is>
      </c>
      <c r="N20" s="16" t="inlineStr">
        <is>
          <t>C</t>
        </is>
      </c>
      <c r="O20" s="16" t="inlineStr">
        <is>
          <t>A</t>
        </is>
      </c>
      <c r="P20" s="16" t="inlineStr">
        <is>
          <t>D</t>
        </is>
      </c>
      <c r="Q20" s="16" t="inlineStr">
        <is>
          <t>B</t>
        </is>
      </c>
      <c r="R20" s="16" t="inlineStr">
        <is>
          <t>B</t>
        </is>
      </c>
    </row>
    <row r="21">
      <c r="A21" s="22" t="inlineStr">
        <is>
          <t>2C</t>
        </is>
      </c>
      <c r="B21" s="22" t="inlineStr">
        <is>
          <t>19</t>
        </is>
      </c>
      <c r="C21" s="22" t="inlineStr">
        <is>
          <t>None</t>
        </is>
      </c>
      <c r="D21" s="22" t="inlineStr">
        <is>
          <t>None</t>
        </is>
      </c>
      <c r="E21" s="23" t="n">
        <v>4</v>
      </c>
      <c r="F21" s="23" t="n">
        <v>10</v>
      </c>
      <c r="G21" s="24">
        <f>E21/F21</f>
        <v/>
      </c>
      <c r="H21" s="22">
        <f>RANK(E21, E$6:E$22)</f>
        <v/>
      </c>
      <c r="I21" s="26" t="inlineStr">
        <is>
          <t>A</t>
        </is>
      </c>
      <c r="J21" s="25" t="inlineStr">
        <is>
          <t>A</t>
        </is>
      </c>
      <c r="K21" s="26" t="inlineStr">
        <is>
          <t>B</t>
        </is>
      </c>
      <c r="L21" s="26" t="inlineStr">
        <is>
          <t>B</t>
        </is>
      </c>
      <c r="M21" s="25" t="inlineStr">
        <is>
          <t>B</t>
        </is>
      </c>
      <c r="N21" s="26" t="inlineStr">
        <is>
          <t>C</t>
        </is>
      </c>
      <c r="O21" s="25" t="inlineStr">
        <is>
          <t>B</t>
        </is>
      </c>
      <c r="P21" s="26" t="inlineStr">
        <is>
          <t>C</t>
        </is>
      </c>
      <c r="Q21" s="26" t="inlineStr">
        <is>
          <t>B</t>
        </is>
      </c>
      <c r="R21" s="25" t="inlineStr">
        <is>
          <t>D</t>
        </is>
      </c>
    </row>
    <row r="22">
      <c r="A22" s="12" t="inlineStr">
        <is>
          <t>2C</t>
        </is>
      </c>
      <c r="B22" s="12" t="inlineStr">
        <is>
          <t>20</t>
        </is>
      </c>
      <c r="C22" s="12" t="inlineStr">
        <is>
          <t>None</t>
        </is>
      </c>
      <c r="D22" s="12" t="inlineStr">
        <is>
          <t>None</t>
        </is>
      </c>
      <c r="E22" s="13" t="n">
        <v>5</v>
      </c>
      <c r="F22" s="13" t="n">
        <v>10</v>
      </c>
      <c r="G22" s="14">
        <f>E22/F22</f>
        <v/>
      </c>
      <c r="H22" s="12">
        <f>RANK(E22, E$6:E$22)</f>
        <v/>
      </c>
      <c r="I22" s="15" t="inlineStr">
        <is>
          <t>C</t>
        </is>
      </c>
      <c r="J22" s="15" t="inlineStr">
        <is>
          <t>A</t>
        </is>
      </c>
      <c r="K22" s="15" t="inlineStr">
        <is>
          <t>C</t>
        </is>
      </c>
      <c r="L22" s="16" t="inlineStr">
        <is>
          <t>B</t>
        </is>
      </c>
      <c r="M22" s="16" t="inlineStr">
        <is>
          <t>C</t>
        </is>
      </c>
      <c r="N22" s="15" t="inlineStr">
        <is>
          <t>B</t>
        </is>
      </c>
      <c r="O22" s="15" t="inlineStr">
        <is>
          <t>B</t>
        </is>
      </c>
      <c r="P22" s="16" t="inlineStr">
        <is>
          <t>D</t>
        </is>
      </c>
      <c r="Q22" s="16" t="inlineStr">
        <is>
          <t>C</t>
        </is>
      </c>
      <c r="R22" s="16" t="inlineStr">
        <is>
          <t>A</t>
        </is>
      </c>
    </row>
    <row r="23">
      <c r="A23" s="17" t="inlineStr">
        <is>
          <t>Class Average</t>
        </is>
      </c>
      <c r="B23" s="18" t="n"/>
      <c r="C23" s="18" t="n"/>
      <c r="D23" s="18" t="n"/>
      <c r="E23" s="19">
        <f>AVERAGE(E6:E22)</f>
        <v/>
      </c>
      <c r="F23" s="18" t="inlineStr"/>
      <c r="G23" s="20">
        <f>AVERAGE(G6:G22)</f>
        <v/>
      </c>
      <c r="H23" s="21">
        <f>COUNTIF(G6:G22,"&gt;=50%")/COUNT(G6:G22)</f>
        <v/>
      </c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</row>
  </sheetData>
  <mergeCells count="1">
    <mergeCell ref="A23:D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1" workbookViewId="0">
      <pane xSplit="8" ySplit="5" topLeftCell="I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4" customWidth="1" min="3" max="3"/>
    <col width="15" customWidth="1" min="4" max="4"/>
    <col width="19" customWidth="1" min="5" max="5"/>
    <col width="11" customWidth="1" min="6" max="6"/>
    <col width="19" customWidth="1" min="7" max="7"/>
    <col width="4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Student Performance Roster - Class None</t>
        </is>
      </c>
    </row>
    <row r="2"/>
    <row r="3"/>
    <row r="4">
      <c r="A4" s="10" t="inlineStr">
        <is>
          <t>Class</t>
        </is>
      </c>
      <c r="B4" s="10" t="inlineStr">
        <is>
          <t>Class Number</t>
        </is>
      </c>
      <c r="C4" s="10" t="inlineStr">
        <is>
          <t>Reg. Number</t>
        </is>
      </c>
      <c r="D4" s="10" t="inlineStr">
        <is>
          <t>Subject Code</t>
        </is>
      </c>
      <c r="E4" s="10" t="inlineStr">
        <is>
          <t>Score</t>
        </is>
      </c>
      <c r="F4" s="10" t="inlineStr">
        <is>
          <t>Total</t>
        </is>
      </c>
      <c r="G4" s="10" t="inlineStr">
        <is>
          <t>Percentage</t>
        </is>
      </c>
      <c r="H4" s="10" t="inlineStr">
        <is>
          <t>Class Rank</t>
        </is>
      </c>
      <c r="I4" s="10" t="inlineStr">
        <is>
          <t>Q1</t>
        </is>
      </c>
      <c r="J4" s="10" t="inlineStr">
        <is>
          <t>Q2</t>
        </is>
      </c>
      <c r="K4" s="10" t="inlineStr">
        <is>
          <t>Q3</t>
        </is>
      </c>
      <c r="L4" s="10" t="inlineStr">
        <is>
          <t>Q4</t>
        </is>
      </c>
      <c r="M4" s="10" t="inlineStr">
        <is>
          <t>Q5</t>
        </is>
      </c>
      <c r="N4" s="10" t="inlineStr">
        <is>
          <t>Q6</t>
        </is>
      </c>
      <c r="O4" s="10" t="inlineStr">
        <is>
          <t>Q7</t>
        </is>
      </c>
      <c r="P4" s="10" t="inlineStr">
        <is>
          <t>Q8</t>
        </is>
      </c>
      <c r="Q4" s="10" t="inlineStr">
        <is>
          <t>Q9</t>
        </is>
      </c>
      <c r="R4" s="10" t="inlineStr">
        <is>
          <t>Q10</t>
        </is>
      </c>
    </row>
    <row r="5">
      <c r="A5" s="11" t="inlineStr">
        <is>
          <t>KEY</t>
        </is>
      </c>
      <c r="B5" s="11" t="inlineStr">
        <is>
          <t>-</t>
        </is>
      </c>
      <c r="C5" s="11" t="inlineStr">
        <is>
          <t>-</t>
        </is>
      </c>
      <c r="D5" s="11" t="inlineStr">
        <is>
          <t>-</t>
        </is>
      </c>
      <c r="E5" s="11" t="inlineStr">
        <is>
          <t>-</t>
        </is>
      </c>
      <c r="F5" s="11" t="inlineStr">
        <is>
          <t>-</t>
        </is>
      </c>
      <c r="G5" s="11" t="inlineStr">
        <is>
          <t>-</t>
        </is>
      </c>
      <c r="H5" s="11" t="inlineStr">
        <is>
          <t>-</t>
        </is>
      </c>
      <c r="I5" s="11" t="inlineStr">
        <is>
          <t>C</t>
        </is>
      </c>
      <c r="J5" s="11" t="inlineStr">
        <is>
          <t>A</t>
        </is>
      </c>
      <c r="K5" s="11" t="inlineStr">
        <is>
          <t>C</t>
        </is>
      </c>
      <c r="L5" s="11" t="inlineStr">
        <is>
          <t>D</t>
        </is>
      </c>
      <c r="M5" s="11" t="inlineStr">
        <is>
          <t>B</t>
        </is>
      </c>
      <c r="N5" s="11" t="inlineStr">
        <is>
          <t>B</t>
        </is>
      </c>
      <c r="O5" s="11" t="inlineStr">
        <is>
          <t>B</t>
        </is>
      </c>
      <c r="P5" s="11" t="inlineStr">
        <is>
          <t>A</t>
        </is>
      </c>
      <c r="Q5" s="11" t="inlineStr">
        <is>
          <t>D</t>
        </is>
      </c>
      <c r="R5" s="11" t="inlineStr">
        <is>
          <t>D</t>
        </is>
      </c>
    </row>
    <row r="6">
      <c r="A6" s="12" t="inlineStr">
        <is>
          <t>None</t>
        </is>
      </c>
      <c r="B6" s="12" t="inlineStr">
        <is>
          <t>None</t>
        </is>
      </c>
      <c r="C6" s="12" t="inlineStr">
        <is>
          <t>None</t>
        </is>
      </c>
      <c r="D6" s="12" t="inlineStr">
        <is>
          <t>None</t>
        </is>
      </c>
      <c r="E6" s="13" t="n">
        <v>0</v>
      </c>
      <c r="F6" s="13" t="n">
        <v>10</v>
      </c>
      <c r="G6" s="14">
        <f>E6/F6</f>
        <v/>
      </c>
      <c r="H6" s="12">
        <f>RANK(E6, E$6:E$10)</f>
        <v/>
      </c>
      <c r="I6" s="27" t="inlineStr">
        <is>
          <t>BLANK</t>
        </is>
      </c>
      <c r="J6" s="27" t="inlineStr">
        <is>
          <t>BLANK</t>
        </is>
      </c>
      <c r="K6" s="27" t="inlineStr">
        <is>
          <t>BLANK</t>
        </is>
      </c>
      <c r="L6" s="27" t="inlineStr">
        <is>
          <t>BLANK</t>
        </is>
      </c>
      <c r="M6" s="27" t="inlineStr">
        <is>
          <t>BLANK</t>
        </is>
      </c>
      <c r="N6" s="27" t="inlineStr">
        <is>
          <t>BLANK</t>
        </is>
      </c>
      <c r="O6" s="27" t="inlineStr">
        <is>
          <t>BLANK</t>
        </is>
      </c>
      <c r="P6" s="27" t="inlineStr">
        <is>
          <t>BLANK</t>
        </is>
      </c>
      <c r="Q6" s="27" t="inlineStr">
        <is>
          <t>BLANK</t>
        </is>
      </c>
      <c r="R6" s="27" t="inlineStr">
        <is>
          <t>BLANK</t>
        </is>
      </c>
    </row>
    <row r="7">
      <c r="A7" s="22" t="inlineStr">
        <is>
          <t>None</t>
        </is>
      </c>
      <c r="B7" s="22" t="inlineStr">
        <is>
          <t>None</t>
        </is>
      </c>
      <c r="C7" s="22" t="inlineStr">
        <is>
          <t>None</t>
        </is>
      </c>
      <c r="D7" s="22" t="inlineStr">
        <is>
          <t>None</t>
        </is>
      </c>
      <c r="E7" s="23" t="n">
        <v>0</v>
      </c>
      <c r="F7" s="23" t="n">
        <v>10</v>
      </c>
      <c r="G7" s="24">
        <f>E7/F7</f>
        <v/>
      </c>
      <c r="H7" s="22">
        <f>RANK(E7, E$6:E$10)</f>
        <v/>
      </c>
      <c r="I7" s="27" t="inlineStr">
        <is>
          <t>BLANK</t>
        </is>
      </c>
      <c r="J7" s="27" t="inlineStr">
        <is>
          <t>BLANK</t>
        </is>
      </c>
      <c r="K7" s="27" t="inlineStr">
        <is>
          <t>BLANK</t>
        </is>
      </c>
      <c r="L7" s="27" t="inlineStr">
        <is>
          <t>BLANK</t>
        </is>
      </c>
      <c r="M7" s="27" t="inlineStr">
        <is>
          <t>BLANK</t>
        </is>
      </c>
      <c r="N7" s="27" t="inlineStr">
        <is>
          <t>BLANK</t>
        </is>
      </c>
      <c r="O7" s="27" t="inlineStr">
        <is>
          <t>BLANK</t>
        </is>
      </c>
      <c r="P7" s="27" t="inlineStr">
        <is>
          <t>BLANK</t>
        </is>
      </c>
      <c r="Q7" s="27" t="inlineStr">
        <is>
          <t>BLANK</t>
        </is>
      </c>
      <c r="R7" s="27" t="inlineStr">
        <is>
          <t>BLANK</t>
        </is>
      </c>
    </row>
    <row r="8">
      <c r="A8" s="12" t="inlineStr">
        <is>
          <t>None</t>
        </is>
      </c>
      <c r="B8" s="12" t="inlineStr">
        <is>
          <t>None</t>
        </is>
      </c>
      <c r="C8" s="12" t="inlineStr">
        <is>
          <t>None</t>
        </is>
      </c>
      <c r="D8" s="12" t="inlineStr">
        <is>
          <t>None</t>
        </is>
      </c>
      <c r="E8" s="13" t="n">
        <v>0</v>
      </c>
      <c r="F8" s="13" t="n">
        <v>10</v>
      </c>
      <c r="G8" s="14">
        <f>E8/F8</f>
        <v/>
      </c>
      <c r="H8" s="12">
        <f>RANK(E8, E$6:E$10)</f>
        <v/>
      </c>
      <c r="I8" s="27" t="inlineStr">
        <is>
          <t>BLANK</t>
        </is>
      </c>
      <c r="J8" s="27" t="inlineStr">
        <is>
          <t>BLANK</t>
        </is>
      </c>
      <c r="K8" s="27" t="inlineStr">
        <is>
          <t>BLANK</t>
        </is>
      </c>
      <c r="L8" s="27" t="inlineStr">
        <is>
          <t>BLANK</t>
        </is>
      </c>
      <c r="M8" s="27" t="inlineStr">
        <is>
          <t>BLANK</t>
        </is>
      </c>
      <c r="N8" s="27" t="inlineStr">
        <is>
          <t>BLANK</t>
        </is>
      </c>
      <c r="O8" s="27" t="inlineStr">
        <is>
          <t>BLANK</t>
        </is>
      </c>
      <c r="P8" s="27" t="inlineStr">
        <is>
          <t>BLANK</t>
        </is>
      </c>
      <c r="Q8" s="27" t="inlineStr">
        <is>
          <t>BLANK</t>
        </is>
      </c>
      <c r="R8" s="27" t="inlineStr">
        <is>
          <t>BLANK</t>
        </is>
      </c>
    </row>
    <row r="9">
      <c r="A9" s="22" t="inlineStr">
        <is>
          <t>None</t>
        </is>
      </c>
      <c r="B9" s="22" t="inlineStr">
        <is>
          <t>None</t>
        </is>
      </c>
      <c r="C9" s="22" t="inlineStr">
        <is>
          <t>None</t>
        </is>
      </c>
      <c r="D9" s="22" t="inlineStr">
        <is>
          <t>None</t>
        </is>
      </c>
      <c r="E9" s="23" t="n">
        <v>0</v>
      </c>
      <c r="F9" s="23" t="n">
        <v>10</v>
      </c>
      <c r="G9" s="24">
        <f>E9/F9</f>
        <v/>
      </c>
      <c r="H9" s="22">
        <f>RANK(E9, E$6:E$10)</f>
        <v/>
      </c>
      <c r="I9" s="27" t="inlineStr">
        <is>
          <t>BLANK</t>
        </is>
      </c>
      <c r="J9" s="27" t="inlineStr">
        <is>
          <t>BLANK</t>
        </is>
      </c>
      <c r="K9" s="27" t="inlineStr">
        <is>
          <t>BLANK</t>
        </is>
      </c>
      <c r="L9" s="27" t="inlineStr">
        <is>
          <t>BLANK</t>
        </is>
      </c>
      <c r="M9" s="27" t="inlineStr">
        <is>
          <t>BLANK</t>
        </is>
      </c>
      <c r="N9" s="27" t="inlineStr">
        <is>
          <t>BLANK</t>
        </is>
      </c>
      <c r="O9" s="27" t="inlineStr">
        <is>
          <t>BLANK</t>
        </is>
      </c>
      <c r="P9" s="27" t="inlineStr">
        <is>
          <t>BLANK</t>
        </is>
      </c>
      <c r="Q9" s="27" t="inlineStr">
        <is>
          <t>BLANK</t>
        </is>
      </c>
      <c r="R9" s="27" t="inlineStr">
        <is>
          <t>BLANK</t>
        </is>
      </c>
    </row>
    <row r="10">
      <c r="A10" s="12" t="inlineStr">
        <is>
          <t>None</t>
        </is>
      </c>
      <c r="B10" s="12" t="inlineStr">
        <is>
          <t>None</t>
        </is>
      </c>
      <c r="C10" s="12" t="inlineStr">
        <is>
          <t>None</t>
        </is>
      </c>
      <c r="D10" s="12" t="inlineStr">
        <is>
          <t>None</t>
        </is>
      </c>
      <c r="E10" s="13" t="n">
        <v>0</v>
      </c>
      <c r="F10" s="13" t="n">
        <v>10</v>
      </c>
      <c r="G10" s="14">
        <f>E10/F10</f>
        <v/>
      </c>
      <c r="H10" s="12">
        <f>RANK(E10, E$6:E$10)</f>
        <v/>
      </c>
      <c r="I10" s="27" t="inlineStr">
        <is>
          <t>BLANK</t>
        </is>
      </c>
      <c r="J10" s="27" t="inlineStr">
        <is>
          <t>BLANK</t>
        </is>
      </c>
      <c r="K10" s="27" t="inlineStr">
        <is>
          <t>BLANK</t>
        </is>
      </c>
      <c r="L10" s="27" t="inlineStr">
        <is>
          <t>BLANK</t>
        </is>
      </c>
      <c r="M10" s="27" t="inlineStr">
        <is>
          <t>BLANK</t>
        </is>
      </c>
      <c r="N10" s="27" t="inlineStr">
        <is>
          <t>BLANK</t>
        </is>
      </c>
      <c r="O10" s="27" t="inlineStr">
        <is>
          <t>BLANK</t>
        </is>
      </c>
      <c r="P10" s="27" t="inlineStr">
        <is>
          <t>BLANK</t>
        </is>
      </c>
      <c r="Q10" s="27" t="inlineStr">
        <is>
          <t>BLANK</t>
        </is>
      </c>
      <c r="R10" s="27" t="inlineStr">
        <is>
          <t>BLANK</t>
        </is>
      </c>
    </row>
    <row r="11">
      <c r="A11" s="17" t="inlineStr">
        <is>
          <t>Class Average</t>
        </is>
      </c>
      <c r="B11" s="18" t="n"/>
      <c r="C11" s="18" t="n"/>
      <c r="D11" s="18" t="n"/>
      <c r="E11" s="19">
        <f>AVERAGE(E6:E10)</f>
        <v/>
      </c>
      <c r="F11" s="18" t="inlineStr"/>
      <c r="G11" s="20">
        <f>AVERAGE(G6:G10)</f>
        <v/>
      </c>
      <c r="H11" s="21">
        <f>COUNTIF(G6:G10,"&gt;=50%")/COUNT(G6:G10)</f>
        <v/>
      </c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</row>
  </sheetData>
  <mergeCells count="1">
    <mergeCell ref="A11:D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3" customWidth="1" min="3" max="3"/>
    <col width="173" customWidth="1" min="4" max="4"/>
    <col width="203" customWidth="1" min="5" max="5"/>
    <col width="203" customWidth="1" min="6" max="6"/>
    <col width="159" customWidth="1" min="7" max="7"/>
  </cols>
  <sheetData>
    <row r="1">
      <c r="A1" s="1" t="inlineStr">
        <is>
          <t>Cohort Item Analysis &amp; Question Diagnostic</t>
        </is>
      </c>
    </row>
    <row r="2"/>
    <row r="3">
      <c r="A3" s="29" t="inlineStr">
        <is>
          <t>Question</t>
        </is>
      </c>
      <c r="B3" s="30" t="inlineStr">
        <is>
          <t>Expected Answer</t>
        </is>
      </c>
      <c r="C3" s="30" t="inlineStr">
        <is>
          <t>Correct Count</t>
        </is>
      </c>
      <c r="D3" s="30" t="inlineStr">
        <is>
          <t>Incorrect Count</t>
        </is>
      </c>
      <c r="E3" s="30" t="inlineStr">
        <is>
          <t>Blank Count</t>
        </is>
      </c>
      <c r="F3" s="30" t="inlineStr">
        <is>
          <t>Ambiguous Count</t>
        </is>
      </c>
      <c r="G3" s="30" t="inlineStr">
        <is>
          <t>Success Rate</t>
        </is>
      </c>
    </row>
    <row r="4">
      <c r="A4" s="31" t="inlineStr">
        <is>
          <t>Q1</t>
        </is>
      </c>
      <c r="B4" s="12" t="inlineStr">
        <is>
          <t>C</t>
        </is>
      </c>
      <c r="C4" s="13">
        <f>COUNTIF('Class 12C'!I$6:I$6, "C") + COUNTIF('Class 2A'!I$6:I$27, "C") + COUNTIF('Class 2B'!I$6:I$25, "C") + COUNTIF('Class 2C'!I$6:I$22, "C") + COUNTIF('Class None'!I$6:I$10, "C")</f>
        <v/>
      </c>
      <c r="D4" s="13">
        <f>(COUNTA('Class 12C'!B$6:B$6) + COUNTA('Class 2A'!B$6:B$27) + COUNTA('Class 2B'!B$6:B$25) + COUNTA('Class 2C'!B$6:B$22) + COUNTA('Class None'!B$6:B$10)) - C4 - E4 - F4</f>
        <v/>
      </c>
      <c r="E4" s="13">
        <f>COUNTIF('Class 12C'!I$6:I$6, "BLANK") + COUNTIF('Class 2A'!I$6:I$27, "BLANK") + COUNTIF('Class 2B'!I$6:I$25, "BLANK") + COUNTIF('Class 2C'!I$6:I$22, "BLANK") + COUNTIF('Class None'!I$6:I$10, "BLANK")</f>
        <v/>
      </c>
      <c r="F4" s="13">
        <f>COUNTIF('Class 12C'!I$6:I$6, "AMBIG") + COUNTIF('Class 2A'!I$6:I$27, "AMBIG") + COUNTIF('Class 2B'!I$6:I$25, "AMBIG") + COUNTIF('Class 2C'!I$6:I$22, "AMBIG") + COUNTIF('Class None'!I$6:I$10, "AMBIG")</f>
        <v/>
      </c>
      <c r="G4" s="14">
        <f>C4/(COUNTA('Class 12C'!B$6:B$6) + COUNTA('Class 2A'!B$6:B$27) + COUNTA('Class 2B'!B$6:B$25) + COUNTA('Class 2C'!B$6:B$22) + COUNTA('Class None'!B$6:B$10))</f>
        <v/>
      </c>
    </row>
    <row r="5">
      <c r="A5" s="32" t="inlineStr">
        <is>
          <t>Q2</t>
        </is>
      </c>
      <c r="B5" s="22" t="inlineStr">
        <is>
          <t>A</t>
        </is>
      </c>
      <c r="C5" s="23">
        <f>COUNTIF('Class 12C'!J$6:J$6, "A") + COUNTIF('Class 2A'!J$6:J$27, "A") + COUNTIF('Class 2B'!J$6:J$25, "A") + COUNTIF('Class 2C'!J$6:J$22, "A") + COUNTIF('Class None'!J$6:J$10, "A")</f>
        <v/>
      </c>
      <c r="D5" s="23">
        <f>(COUNTA('Class 12C'!B$6:B$6) + COUNTA('Class 2A'!B$6:B$27) + COUNTA('Class 2B'!B$6:B$25) + COUNTA('Class 2C'!B$6:B$22) + COUNTA('Class None'!B$6:B$10)) - C5 - E5 - F5</f>
        <v/>
      </c>
      <c r="E5" s="23">
        <f>COUNTIF('Class 12C'!J$6:J$6, "BLANK") + COUNTIF('Class 2A'!J$6:J$27, "BLANK") + COUNTIF('Class 2B'!J$6:J$25, "BLANK") + COUNTIF('Class 2C'!J$6:J$22, "BLANK") + COUNTIF('Class None'!J$6:J$10, "BLANK")</f>
        <v/>
      </c>
      <c r="F5" s="23">
        <f>COUNTIF('Class 12C'!J$6:J$6, "AMBIG") + COUNTIF('Class 2A'!J$6:J$27, "AMBIG") + COUNTIF('Class 2B'!J$6:J$25, "AMBIG") + COUNTIF('Class 2C'!J$6:J$22, "AMBIG") + COUNTIF('Class None'!J$6:J$10, "AMBIG")</f>
        <v/>
      </c>
      <c r="G5" s="24">
        <f>C5/(COUNTA('Class 12C'!B$6:B$6) + COUNTA('Class 2A'!B$6:B$27) + COUNTA('Class 2B'!B$6:B$25) + COUNTA('Class 2C'!B$6:B$22) + COUNTA('Class None'!B$6:B$10))</f>
        <v/>
      </c>
    </row>
    <row r="6">
      <c r="A6" s="31" t="inlineStr">
        <is>
          <t>Q3</t>
        </is>
      </c>
      <c r="B6" s="12" t="inlineStr">
        <is>
          <t>C</t>
        </is>
      </c>
      <c r="C6" s="13">
        <f>COUNTIF('Class 12C'!K$6:K$6, "C") + COUNTIF('Class 2A'!K$6:K$27, "C") + COUNTIF('Class 2B'!K$6:K$25, "C") + COUNTIF('Class 2C'!K$6:K$22, "C") + COUNTIF('Class None'!K$6:K$10, "C")</f>
        <v/>
      </c>
      <c r="D6" s="13">
        <f>(COUNTA('Class 12C'!B$6:B$6) + COUNTA('Class 2A'!B$6:B$27) + COUNTA('Class 2B'!B$6:B$25) + COUNTA('Class 2C'!B$6:B$22) + COUNTA('Class None'!B$6:B$10)) - C6 - E6 - F6</f>
        <v/>
      </c>
      <c r="E6" s="13">
        <f>COUNTIF('Class 12C'!K$6:K$6, "BLANK") + COUNTIF('Class 2A'!K$6:K$27, "BLANK") + COUNTIF('Class 2B'!K$6:K$25, "BLANK") + COUNTIF('Class 2C'!K$6:K$22, "BLANK") + COUNTIF('Class None'!K$6:K$10, "BLANK")</f>
        <v/>
      </c>
      <c r="F6" s="13">
        <f>COUNTIF('Class 12C'!K$6:K$6, "AMBIG") + COUNTIF('Class 2A'!K$6:K$27, "AMBIG") + COUNTIF('Class 2B'!K$6:K$25, "AMBIG") + COUNTIF('Class 2C'!K$6:K$22, "AMBIG") + COUNTIF('Class None'!K$6:K$10, "AMBIG")</f>
        <v/>
      </c>
      <c r="G6" s="14">
        <f>C6/(COUNTA('Class 12C'!B$6:B$6) + COUNTA('Class 2A'!B$6:B$27) + COUNTA('Class 2B'!B$6:B$25) + COUNTA('Class 2C'!B$6:B$22) + COUNTA('Class None'!B$6:B$10))</f>
        <v/>
      </c>
    </row>
    <row r="7">
      <c r="A7" s="32" t="inlineStr">
        <is>
          <t>Q4</t>
        </is>
      </c>
      <c r="B7" s="22" t="inlineStr">
        <is>
          <t>D</t>
        </is>
      </c>
      <c r="C7" s="23">
        <f>COUNTIF('Class 12C'!L$6:L$6, "D") + COUNTIF('Class 2A'!L$6:L$27, "D") + COUNTIF('Class 2B'!L$6:L$25, "D") + COUNTIF('Class 2C'!L$6:L$22, "D") + COUNTIF('Class None'!L$6:L$10, "D")</f>
        <v/>
      </c>
      <c r="D7" s="23">
        <f>(COUNTA('Class 12C'!B$6:B$6) + COUNTA('Class 2A'!B$6:B$27) + COUNTA('Class 2B'!B$6:B$25) + COUNTA('Class 2C'!B$6:B$22) + COUNTA('Class None'!B$6:B$10)) - C7 - E7 - F7</f>
        <v/>
      </c>
      <c r="E7" s="23">
        <f>COUNTIF('Class 12C'!L$6:L$6, "BLANK") + COUNTIF('Class 2A'!L$6:L$27, "BLANK") + COUNTIF('Class 2B'!L$6:L$25, "BLANK") + COUNTIF('Class 2C'!L$6:L$22, "BLANK") + COUNTIF('Class None'!L$6:L$10, "BLANK")</f>
        <v/>
      </c>
      <c r="F7" s="23">
        <f>COUNTIF('Class 12C'!L$6:L$6, "AMBIG") + COUNTIF('Class 2A'!L$6:L$27, "AMBIG") + COUNTIF('Class 2B'!L$6:L$25, "AMBIG") + COUNTIF('Class 2C'!L$6:L$22, "AMBIG") + COUNTIF('Class None'!L$6:L$10, "AMBIG")</f>
        <v/>
      </c>
      <c r="G7" s="24">
        <f>C7/(COUNTA('Class 12C'!B$6:B$6) + COUNTA('Class 2A'!B$6:B$27) + COUNTA('Class 2B'!B$6:B$25) + COUNTA('Class 2C'!B$6:B$22) + COUNTA('Class None'!B$6:B$10))</f>
        <v/>
      </c>
    </row>
    <row r="8">
      <c r="A8" s="31" t="inlineStr">
        <is>
          <t>Q5</t>
        </is>
      </c>
      <c r="B8" s="12" t="inlineStr">
        <is>
          <t>B</t>
        </is>
      </c>
      <c r="C8" s="13">
        <f>COUNTIF('Class 12C'!M$6:M$6, "B") + COUNTIF('Class 2A'!M$6:M$27, "B") + COUNTIF('Class 2B'!M$6:M$25, "B") + COUNTIF('Class 2C'!M$6:M$22, "B") + COUNTIF('Class None'!M$6:M$10, "B")</f>
        <v/>
      </c>
      <c r="D8" s="13">
        <f>(COUNTA('Class 12C'!B$6:B$6) + COUNTA('Class 2A'!B$6:B$27) + COUNTA('Class 2B'!B$6:B$25) + COUNTA('Class 2C'!B$6:B$22) + COUNTA('Class None'!B$6:B$10)) - C8 - E8 - F8</f>
        <v/>
      </c>
      <c r="E8" s="13">
        <f>COUNTIF('Class 12C'!M$6:M$6, "BLANK") + COUNTIF('Class 2A'!M$6:M$27, "BLANK") + COUNTIF('Class 2B'!M$6:M$25, "BLANK") + COUNTIF('Class 2C'!M$6:M$22, "BLANK") + COUNTIF('Class None'!M$6:M$10, "BLANK")</f>
        <v/>
      </c>
      <c r="F8" s="13">
        <f>COUNTIF('Class 12C'!M$6:M$6, "AMBIG") + COUNTIF('Class 2A'!M$6:M$27, "AMBIG") + COUNTIF('Class 2B'!M$6:M$25, "AMBIG") + COUNTIF('Class 2C'!M$6:M$22, "AMBIG") + COUNTIF('Class None'!M$6:M$10, "AMBIG")</f>
        <v/>
      </c>
      <c r="G8" s="14">
        <f>C8/(COUNTA('Class 12C'!B$6:B$6) + COUNTA('Class 2A'!B$6:B$27) + COUNTA('Class 2B'!B$6:B$25) + COUNTA('Class 2C'!B$6:B$22) + COUNTA('Class None'!B$6:B$10))</f>
        <v/>
      </c>
    </row>
    <row r="9">
      <c r="A9" s="32" t="inlineStr">
        <is>
          <t>Q6</t>
        </is>
      </c>
      <c r="B9" s="22" t="inlineStr">
        <is>
          <t>B</t>
        </is>
      </c>
      <c r="C9" s="23">
        <f>COUNTIF('Class 12C'!N$6:N$6, "B") + COUNTIF('Class 2A'!N$6:N$27, "B") + COUNTIF('Class 2B'!N$6:N$25, "B") + COUNTIF('Class 2C'!N$6:N$22, "B") + COUNTIF('Class None'!N$6:N$10, "B")</f>
        <v/>
      </c>
      <c r="D9" s="23">
        <f>(COUNTA('Class 12C'!B$6:B$6) + COUNTA('Class 2A'!B$6:B$27) + COUNTA('Class 2B'!B$6:B$25) + COUNTA('Class 2C'!B$6:B$22) + COUNTA('Class None'!B$6:B$10)) - C9 - E9 - F9</f>
        <v/>
      </c>
      <c r="E9" s="23">
        <f>COUNTIF('Class 12C'!N$6:N$6, "BLANK") + COUNTIF('Class 2A'!N$6:N$27, "BLANK") + COUNTIF('Class 2B'!N$6:N$25, "BLANK") + COUNTIF('Class 2C'!N$6:N$22, "BLANK") + COUNTIF('Class None'!N$6:N$10, "BLANK")</f>
        <v/>
      </c>
      <c r="F9" s="23">
        <f>COUNTIF('Class 12C'!N$6:N$6, "AMBIG") + COUNTIF('Class 2A'!N$6:N$27, "AMBIG") + COUNTIF('Class 2B'!N$6:N$25, "AMBIG") + COUNTIF('Class 2C'!N$6:N$22, "AMBIG") + COUNTIF('Class None'!N$6:N$10, "AMBIG")</f>
        <v/>
      </c>
      <c r="G9" s="24">
        <f>C9/(COUNTA('Class 12C'!B$6:B$6) + COUNTA('Class 2A'!B$6:B$27) + COUNTA('Class 2B'!B$6:B$25) + COUNTA('Class 2C'!B$6:B$22) + COUNTA('Class None'!B$6:B$10))</f>
        <v/>
      </c>
    </row>
    <row r="10">
      <c r="A10" s="31" t="inlineStr">
        <is>
          <t>Q7</t>
        </is>
      </c>
      <c r="B10" s="12" t="inlineStr">
        <is>
          <t>B</t>
        </is>
      </c>
      <c r="C10" s="13">
        <f>COUNTIF('Class 12C'!O$6:O$6, "B") + COUNTIF('Class 2A'!O$6:O$27, "B") + COUNTIF('Class 2B'!O$6:O$25, "B") + COUNTIF('Class 2C'!O$6:O$22, "B") + COUNTIF('Class None'!O$6:O$10, "B")</f>
        <v/>
      </c>
      <c r="D10" s="13">
        <f>(COUNTA('Class 12C'!B$6:B$6) + COUNTA('Class 2A'!B$6:B$27) + COUNTA('Class 2B'!B$6:B$25) + COUNTA('Class 2C'!B$6:B$22) + COUNTA('Class None'!B$6:B$10)) - C10 - E10 - F10</f>
        <v/>
      </c>
      <c r="E10" s="13">
        <f>COUNTIF('Class 12C'!O$6:O$6, "BLANK") + COUNTIF('Class 2A'!O$6:O$27, "BLANK") + COUNTIF('Class 2B'!O$6:O$25, "BLANK") + COUNTIF('Class 2C'!O$6:O$22, "BLANK") + COUNTIF('Class None'!O$6:O$10, "BLANK")</f>
        <v/>
      </c>
      <c r="F10" s="13">
        <f>COUNTIF('Class 12C'!O$6:O$6, "AMBIG") + COUNTIF('Class 2A'!O$6:O$27, "AMBIG") + COUNTIF('Class 2B'!O$6:O$25, "AMBIG") + COUNTIF('Class 2C'!O$6:O$22, "AMBIG") + COUNTIF('Class None'!O$6:O$10, "AMBIG")</f>
        <v/>
      </c>
      <c r="G10" s="14">
        <f>C10/(COUNTA('Class 12C'!B$6:B$6) + COUNTA('Class 2A'!B$6:B$27) + COUNTA('Class 2B'!B$6:B$25) + COUNTA('Class 2C'!B$6:B$22) + COUNTA('Class None'!B$6:B$10))</f>
        <v/>
      </c>
    </row>
    <row r="11">
      <c r="A11" s="32" t="inlineStr">
        <is>
          <t>Q8</t>
        </is>
      </c>
      <c r="B11" s="22" t="inlineStr">
        <is>
          <t>A</t>
        </is>
      </c>
      <c r="C11" s="23">
        <f>COUNTIF('Class 12C'!P$6:P$6, "A") + COUNTIF('Class 2A'!P$6:P$27, "A") + COUNTIF('Class 2B'!P$6:P$25, "A") + COUNTIF('Class 2C'!P$6:P$22, "A") + COUNTIF('Class None'!P$6:P$10, "A")</f>
        <v/>
      </c>
      <c r="D11" s="23">
        <f>(COUNTA('Class 12C'!B$6:B$6) + COUNTA('Class 2A'!B$6:B$27) + COUNTA('Class 2B'!B$6:B$25) + COUNTA('Class 2C'!B$6:B$22) + COUNTA('Class None'!B$6:B$10)) - C11 - E11 - F11</f>
        <v/>
      </c>
      <c r="E11" s="23">
        <f>COUNTIF('Class 12C'!P$6:P$6, "BLANK") + COUNTIF('Class 2A'!P$6:P$27, "BLANK") + COUNTIF('Class 2B'!P$6:P$25, "BLANK") + COUNTIF('Class 2C'!P$6:P$22, "BLANK") + COUNTIF('Class None'!P$6:P$10, "BLANK")</f>
        <v/>
      </c>
      <c r="F11" s="23">
        <f>COUNTIF('Class 12C'!P$6:P$6, "AMBIG") + COUNTIF('Class 2A'!P$6:P$27, "AMBIG") + COUNTIF('Class 2B'!P$6:P$25, "AMBIG") + COUNTIF('Class 2C'!P$6:P$22, "AMBIG") + COUNTIF('Class None'!P$6:P$10, "AMBIG")</f>
        <v/>
      </c>
      <c r="G11" s="24">
        <f>C11/(COUNTA('Class 12C'!B$6:B$6) + COUNTA('Class 2A'!B$6:B$27) + COUNTA('Class 2B'!B$6:B$25) + COUNTA('Class 2C'!B$6:B$22) + COUNTA('Class None'!B$6:B$10))</f>
        <v/>
      </c>
    </row>
    <row r="12">
      <c r="A12" s="31" t="inlineStr">
        <is>
          <t>Q9</t>
        </is>
      </c>
      <c r="B12" s="12" t="inlineStr">
        <is>
          <t>D</t>
        </is>
      </c>
      <c r="C12" s="13">
        <f>COUNTIF('Class 12C'!Q$6:Q$6, "D") + COUNTIF('Class 2A'!Q$6:Q$27, "D") + COUNTIF('Class 2B'!Q$6:Q$25, "D") + COUNTIF('Class 2C'!Q$6:Q$22, "D") + COUNTIF('Class None'!Q$6:Q$10, "D")</f>
        <v/>
      </c>
      <c r="D12" s="13">
        <f>(COUNTA('Class 12C'!B$6:B$6) + COUNTA('Class 2A'!B$6:B$27) + COUNTA('Class 2B'!B$6:B$25) + COUNTA('Class 2C'!B$6:B$22) + COUNTA('Class None'!B$6:B$10)) - C12 - E12 - F12</f>
        <v/>
      </c>
      <c r="E12" s="13">
        <f>COUNTIF('Class 12C'!Q$6:Q$6, "BLANK") + COUNTIF('Class 2A'!Q$6:Q$27, "BLANK") + COUNTIF('Class 2B'!Q$6:Q$25, "BLANK") + COUNTIF('Class 2C'!Q$6:Q$22, "BLANK") + COUNTIF('Class None'!Q$6:Q$10, "BLANK")</f>
        <v/>
      </c>
      <c r="F12" s="13">
        <f>COUNTIF('Class 12C'!Q$6:Q$6, "AMBIG") + COUNTIF('Class 2A'!Q$6:Q$27, "AMBIG") + COUNTIF('Class 2B'!Q$6:Q$25, "AMBIG") + COUNTIF('Class 2C'!Q$6:Q$22, "AMBIG") + COUNTIF('Class None'!Q$6:Q$10, "AMBIG")</f>
        <v/>
      </c>
      <c r="G12" s="14">
        <f>C12/(COUNTA('Class 12C'!B$6:B$6) + COUNTA('Class 2A'!B$6:B$27) + COUNTA('Class 2B'!B$6:B$25) + COUNTA('Class 2C'!B$6:B$22) + COUNTA('Class None'!B$6:B$10))</f>
        <v/>
      </c>
    </row>
    <row r="13">
      <c r="A13" s="32" t="inlineStr">
        <is>
          <t>Q10</t>
        </is>
      </c>
      <c r="B13" s="22" t="inlineStr">
        <is>
          <t>D</t>
        </is>
      </c>
      <c r="C13" s="23">
        <f>COUNTIF('Class 12C'!R$6:R$6, "D") + COUNTIF('Class 2A'!R$6:R$27, "D") + COUNTIF('Class 2B'!R$6:R$25, "D") + COUNTIF('Class 2C'!R$6:R$22, "D") + COUNTIF('Class None'!R$6:R$10, "D")</f>
        <v/>
      </c>
      <c r="D13" s="23">
        <f>(COUNTA('Class 12C'!B$6:B$6) + COUNTA('Class 2A'!B$6:B$27) + COUNTA('Class 2B'!B$6:B$25) + COUNTA('Class 2C'!B$6:B$22) + COUNTA('Class None'!B$6:B$10)) - C13 - E13 - F13</f>
        <v/>
      </c>
      <c r="E13" s="23">
        <f>COUNTIF('Class 12C'!R$6:R$6, "BLANK") + COUNTIF('Class 2A'!R$6:R$27, "BLANK") + COUNTIF('Class 2B'!R$6:R$25, "BLANK") + COUNTIF('Class 2C'!R$6:R$22, "BLANK") + COUNTIF('Class None'!R$6:R$10, "BLANK")</f>
        <v/>
      </c>
      <c r="F13" s="23">
        <f>COUNTIF('Class 12C'!R$6:R$6, "AMBIG") + COUNTIF('Class 2A'!R$6:R$27, "AMBIG") + COUNTIF('Class 2B'!R$6:R$25, "AMBIG") + COUNTIF('Class 2C'!R$6:R$22, "AMBIG") + COUNTIF('Class None'!R$6:R$10, "AMBIG")</f>
        <v/>
      </c>
      <c r="G13" s="24">
        <f>C13/(COUNTA('Class 12C'!B$6:B$6) + COUNTA('Class 2A'!B$6:B$27) + COUNTA('Class 2B'!B$6:B$25) + COUNTA('Class 2C'!B$6:B$22) + COUNTA('Class None'!B$6:B$10))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2026-06-30T03:50:49Z</dcterms:created>
  <dcterms:modified xsi:type="dcterms:W3CDTF">2026-06-30T03:50:49Z</dcterms:modified>
</cp:coreProperties>
</file>